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Michele\Nextcloud\PROTOCOLLO STEM\Protocollo di comunicazione STEM\"/>
    </mc:Choice>
  </mc:AlternateContent>
  <xr:revisionPtr revIDLastSave="0" documentId="13_ncr:1_{22853CDB-3FDB-4F88-8281-F00F00C34A99}" xr6:coauthVersionLast="47" xr6:coauthVersionMax="47" xr10:uidLastSave="{00000000-0000-0000-0000-000000000000}"/>
  <bookViews>
    <workbookView xWindow="-2340" yWindow="-16320" windowWidth="29040" windowHeight="15840" tabRatio="500" firstSheet="11" activeTab="12" xr2:uid="{00000000-000D-0000-FFFF-FFFF00000000}"/>
  </bookViews>
  <sheets>
    <sheet name="COMANDI" sheetId="1" r:id="rId1"/>
    <sheet name="ESEMPI MESSAGGI COMANDI BLE" sheetId="11" r:id="rId2"/>
    <sheet name="DATI LOGICI" sheetId="2" r:id="rId3"/>
    <sheet name="DATI LOGICI SHERPA SLIM" sheetId="3" r:id="rId4"/>
    <sheet name="DATI LOGICI EDEN" sheetId="6" r:id="rId5"/>
    <sheet name="DATI LOGICI TASTIERA PAC" sheetId="14" r:id="rId6"/>
    <sheet name="DATI LOGICI HMI SPYKE" sheetId="12" r:id="rId7"/>
    <sheet name="DATI LOGICI GATEWAY SPYKE" sheetId="13" r:id="rId8"/>
    <sheet name="DATI LOGICI GRADINO" sheetId="10" r:id="rId9"/>
    <sheet name="DATI LOGICI OPTIMUS" sheetId="4" r:id="rId10"/>
    <sheet name="DATI LOGICI TOP-LIFT M" sheetId="5" r:id="rId11"/>
    <sheet name="DATI LOGICI VECCHIO EDEN" sheetId="7" r:id="rId12"/>
    <sheet name="DATI LOGICI TOP-LIFT A2" sheetId="16" r:id="rId13"/>
    <sheet name="DATI LOGICI O3ZTECH" sheetId="17" r:id="rId14"/>
    <sheet name="DATI LOGICI HMI SPARK" sheetId="18" r:id="rId15"/>
    <sheet name="DATI LOGICI OPTIMUS XP" sheetId="20" r:id="rId16"/>
    <sheet name="Tipi FW" sheetId="8" r:id="rId17"/>
    <sheet name="Indirizzo protocollo stem" sheetId="9" r:id="rId18"/>
  </sheets>
  <definedNames>
    <definedName name="_xlnm._FilterDatabase" localSheetId="16" hidden="1">'Tipi FW'!$A$1:$E$1</definedName>
    <definedName name="_xlnm.Print_Area" localSheetId="2">'DATI LOGICI'!$J$2:$K$9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76" i="16" l="1"/>
  <c r="C75" i="16"/>
  <c r="C74" i="16"/>
  <c r="C73" i="16"/>
  <c r="I28" i="20"/>
  <c r="H28" i="20"/>
  <c r="G28" i="20"/>
  <c r="F28" i="20"/>
  <c r="E28" i="20"/>
  <c r="D28" i="20"/>
  <c r="C28" i="20"/>
  <c r="B28" i="20"/>
  <c r="A28" i="20"/>
  <c r="C156" i="6"/>
  <c r="C157" i="6"/>
  <c r="C155" i="6"/>
  <c r="C154" i="6"/>
  <c r="C28" i="6"/>
  <c r="B28" i="6"/>
  <c r="C30" i="20"/>
  <c r="C31" i="20" s="1"/>
  <c r="C32" i="20" s="1"/>
  <c r="C33" i="20" s="1"/>
  <c r="C34" i="20" s="1"/>
  <c r="C35" i="20" s="1"/>
  <c r="C36" i="20" s="1"/>
  <c r="C37" i="20" s="1"/>
  <c r="C38" i="20" s="1"/>
  <c r="C39" i="20" s="1"/>
  <c r="C40" i="20" s="1"/>
  <c r="C41" i="20" s="1"/>
  <c r="C42" i="20" s="1"/>
  <c r="C43" i="20" s="1"/>
  <c r="C44" i="20" s="1"/>
  <c r="C45" i="20" s="1"/>
  <c r="C46" i="20" s="1"/>
  <c r="C47" i="20" s="1"/>
  <c r="C48" i="20" s="1"/>
  <c r="C49" i="20" s="1"/>
  <c r="C50" i="20" s="1"/>
  <c r="C51" i="20" s="1"/>
  <c r="C52" i="20" s="1"/>
  <c r="C53" i="20" s="1"/>
  <c r="C54" i="20" s="1"/>
  <c r="C55" i="20" s="1"/>
  <c r="C56" i="20" s="1"/>
  <c r="C57" i="20" s="1"/>
  <c r="C58" i="20" s="1"/>
  <c r="C59" i="20" s="1"/>
  <c r="C60" i="20" s="1"/>
  <c r="C61" i="20" s="1"/>
  <c r="C62" i="20" s="1"/>
  <c r="C63" i="20" s="1"/>
  <c r="C64" i="20" s="1"/>
  <c r="C65" i="20" s="1"/>
  <c r="C66" i="20" s="1"/>
  <c r="C67" i="20" s="1"/>
  <c r="C68" i="20" s="1"/>
  <c r="C69" i="20" s="1"/>
  <c r="C70" i="20" s="1"/>
  <c r="C71" i="20" s="1"/>
  <c r="C72" i="20" s="1"/>
  <c r="C73" i="20" s="1"/>
  <c r="C74" i="20" s="1"/>
  <c r="C75" i="20" s="1"/>
  <c r="C76" i="20" s="1"/>
  <c r="C77" i="20" s="1"/>
  <c r="C78" i="20" s="1"/>
  <c r="C79" i="20" s="1"/>
  <c r="C80" i="20" s="1"/>
  <c r="C81" i="20" s="1"/>
  <c r="C82" i="20" s="1"/>
  <c r="C83" i="20" s="1"/>
  <c r="C84" i="20" s="1"/>
  <c r="C85" i="20" s="1"/>
  <c r="C86" i="20" s="1"/>
  <c r="C87" i="20" s="1"/>
  <c r="C88" i="20" s="1"/>
  <c r="C89" i="20" s="1"/>
  <c r="C90" i="20" s="1"/>
  <c r="C91" i="20" s="1"/>
  <c r="C92" i="20" s="1"/>
  <c r="C93" i="20" s="1"/>
  <c r="C94" i="20" s="1"/>
  <c r="C95" i="20" s="1"/>
  <c r="C96" i="20" s="1"/>
  <c r="C97" i="20" s="1"/>
  <c r="C98" i="20" s="1"/>
  <c r="C99" i="20" s="1"/>
  <c r="C100" i="20" s="1"/>
  <c r="C101" i="20" s="1"/>
  <c r="C102" i="20" s="1"/>
  <c r="C103" i="20" s="1"/>
  <c r="C104" i="20" s="1"/>
  <c r="C105" i="20" s="1"/>
  <c r="C106" i="20" s="1"/>
  <c r="C107" i="20" s="1"/>
  <c r="C108" i="20" s="1"/>
  <c r="C109" i="20" s="1"/>
  <c r="C110" i="20" s="1"/>
  <c r="C111" i="20" s="1"/>
  <c r="C112" i="20" s="1"/>
  <c r="C113" i="20" s="1"/>
  <c r="C114" i="20" s="1"/>
  <c r="C115" i="20" s="1"/>
  <c r="C116" i="20" s="1"/>
  <c r="C117" i="20" s="1"/>
  <c r="C118" i="20" s="1"/>
  <c r="C119" i="20" s="1"/>
  <c r="C120" i="20" s="1"/>
  <c r="C121" i="20" s="1"/>
  <c r="C122" i="20" s="1"/>
  <c r="C123" i="20" s="1"/>
  <c r="C124" i="20" s="1"/>
  <c r="C125" i="20" s="1"/>
  <c r="I27" i="20"/>
  <c r="H27" i="20"/>
  <c r="G27" i="20"/>
  <c r="F27" i="20"/>
  <c r="E27" i="20"/>
  <c r="D27" i="20"/>
  <c r="C27" i="20"/>
  <c r="B27" i="20"/>
  <c r="A27" i="20"/>
  <c r="I26" i="20"/>
  <c r="H26" i="20"/>
  <c r="G26" i="20"/>
  <c r="F26" i="20"/>
  <c r="E26" i="20"/>
  <c r="D26" i="20"/>
  <c r="C26" i="20"/>
  <c r="B26" i="20"/>
  <c r="A26" i="20"/>
  <c r="I25" i="20"/>
  <c r="H25" i="20"/>
  <c r="G25" i="20"/>
  <c r="F25" i="20"/>
  <c r="E25" i="20"/>
  <c r="D25" i="20"/>
  <c r="C25" i="20"/>
  <c r="B25" i="20"/>
  <c r="A25" i="20"/>
  <c r="I24" i="20"/>
  <c r="H24" i="20"/>
  <c r="G24" i="20"/>
  <c r="F24" i="20"/>
  <c r="E24" i="20"/>
  <c r="D24" i="20"/>
  <c r="C24" i="20"/>
  <c r="B24" i="20"/>
  <c r="A24" i="20"/>
  <c r="I23" i="20"/>
  <c r="H23" i="20"/>
  <c r="G23" i="20"/>
  <c r="F23" i="20"/>
  <c r="E23" i="20"/>
  <c r="D23" i="20"/>
  <c r="C23" i="20"/>
  <c r="B23" i="20"/>
  <c r="A23" i="20"/>
  <c r="I22" i="20"/>
  <c r="H22" i="20"/>
  <c r="G22" i="20"/>
  <c r="F22" i="20"/>
  <c r="E22" i="20"/>
  <c r="D22" i="20"/>
  <c r="C22" i="20"/>
  <c r="B22" i="20"/>
  <c r="A22" i="20"/>
  <c r="I21" i="20"/>
  <c r="H21" i="20"/>
  <c r="G21" i="20"/>
  <c r="F21" i="20"/>
  <c r="E21" i="20"/>
  <c r="D21" i="20"/>
  <c r="C21" i="20"/>
  <c r="B21" i="20"/>
  <c r="A21" i="20"/>
  <c r="I20" i="20"/>
  <c r="E20" i="20"/>
  <c r="D20" i="20"/>
  <c r="C20" i="20"/>
  <c r="B20" i="20"/>
  <c r="A20" i="20"/>
  <c r="I19" i="20"/>
  <c r="H19" i="20"/>
  <c r="G19" i="20"/>
  <c r="F19" i="20"/>
  <c r="E19" i="20"/>
  <c r="D19" i="20"/>
  <c r="C19" i="20"/>
  <c r="B19" i="20"/>
  <c r="A19" i="20"/>
  <c r="I18" i="20"/>
  <c r="H18" i="20"/>
  <c r="G18" i="20"/>
  <c r="F18" i="20"/>
  <c r="E18" i="20"/>
  <c r="D18" i="20"/>
  <c r="C18" i="20"/>
  <c r="B18" i="20"/>
  <c r="A18" i="20"/>
  <c r="I17" i="20"/>
  <c r="H17" i="20"/>
  <c r="G17" i="20"/>
  <c r="F17" i="20"/>
  <c r="E17" i="20"/>
  <c r="D17" i="20"/>
  <c r="C17" i="20"/>
  <c r="B17" i="20"/>
  <c r="A17" i="20"/>
  <c r="I16" i="20"/>
  <c r="H16" i="20"/>
  <c r="G16" i="20"/>
  <c r="F16" i="20"/>
  <c r="E16" i="20"/>
  <c r="D16" i="20"/>
  <c r="C16" i="20"/>
  <c r="B16" i="20"/>
  <c r="A16" i="20"/>
  <c r="I15" i="20"/>
  <c r="H15" i="20"/>
  <c r="G15" i="20"/>
  <c r="F15" i="20"/>
  <c r="E15" i="20"/>
  <c r="D15" i="20"/>
  <c r="C15" i="20"/>
  <c r="B15" i="20"/>
  <c r="A15" i="20"/>
  <c r="I14" i="20"/>
  <c r="H14" i="20"/>
  <c r="G14" i="20"/>
  <c r="F14" i="20"/>
  <c r="E14" i="20"/>
  <c r="D14" i="20"/>
  <c r="C14" i="20"/>
  <c r="B14" i="20"/>
  <c r="A14" i="20"/>
  <c r="I13" i="20"/>
  <c r="H13" i="20"/>
  <c r="G13" i="20"/>
  <c r="F13" i="20"/>
  <c r="E13" i="20"/>
  <c r="D13" i="20"/>
  <c r="C13" i="20"/>
  <c r="B13" i="20"/>
  <c r="A13" i="20"/>
  <c r="I12" i="20"/>
  <c r="H12" i="20"/>
  <c r="G12" i="20"/>
  <c r="F12" i="20"/>
  <c r="E12" i="20"/>
  <c r="D12" i="20"/>
  <c r="C12" i="20"/>
  <c r="B12" i="20"/>
  <c r="A12" i="20"/>
  <c r="I11" i="20"/>
  <c r="H11" i="20"/>
  <c r="G11" i="20"/>
  <c r="F11" i="20"/>
  <c r="E11" i="20"/>
  <c r="D11" i="20"/>
  <c r="C11" i="20"/>
  <c r="B11" i="20"/>
  <c r="A11" i="20"/>
  <c r="I10" i="20"/>
  <c r="H10" i="20"/>
  <c r="G10" i="20"/>
  <c r="F10" i="20"/>
  <c r="E10" i="20"/>
  <c r="D10" i="20"/>
  <c r="C10" i="20"/>
  <c r="B10" i="20"/>
  <c r="A10" i="20"/>
  <c r="H9" i="20"/>
  <c r="G9" i="20"/>
  <c r="F9" i="20"/>
  <c r="E9" i="20"/>
  <c r="D9" i="20"/>
  <c r="C9" i="20"/>
  <c r="B9" i="20"/>
  <c r="A9" i="20"/>
  <c r="I8" i="20"/>
  <c r="H8" i="20"/>
  <c r="G8" i="20"/>
  <c r="F8" i="20"/>
  <c r="E8" i="20"/>
  <c r="D8" i="20"/>
  <c r="C8" i="20"/>
  <c r="B8" i="20"/>
  <c r="A8" i="20"/>
  <c r="I7" i="20"/>
  <c r="H7" i="20"/>
  <c r="G7" i="20"/>
  <c r="F7" i="20"/>
  <c r="E7" i="20"/>
  <c r="D7" i="20"/>
  <c r="C7" i="20"/>
  <c r="B7" i="20"/>
  <c r="A7" i="20"/>
  <c r="I6" i="20"/>
  <c r="H6" i="20"/>
  <c r="G6" i="20"/>
  <c r="F6" i="20"/>
  <c r="E6" i="20"/>
  <c r="D6" i="20"/>
  <c r="C6" i="20"/>
  <c r="B6" i="20"/>
  <c r="A6" i="20"/>
  <c r="I5" i="20"/>
  <c r="H5" i="20"/>
  <c r="G5" i="20"/>
  <c r="F5" i="20"/>
  <c r="E5" i="20"/>
  <c r="D5" i="20"/>
  <c r="C5" i="20"/>
  <c r="B5" i="20"/>
  <c r="A5" i="20"/>
  <c r="I28" i="6"/>
  <c r="H28" i="6"/>
  <c r="G28" i="6"/>
  <c r="F28" i="6"/>
  <c r="E28" i="6"/>
  <c r="D28" i="6"/>
  <c r="A28" i="6"/>
  <c r="B27" i="6"/>
  <c r="A27" i="6"/>
  <c r="I39" i="18"/>
  <c r="H39" i="18"/>
  <c r="G39" i="18"/>
  <c r="F39" i="18"/>
  <c r="E39" i="18"/>
  <c r="D39" i="18"/>
  <c r="C39" i="18"/>
  <c r="B39" i="18"/>
  <c r="A39" i="18"/>
  <c r="I38" i="18"/>
  <c r="H38" i="18"/>
  <c r="G38" i="18"/>
  <c r="F38" i="18"/>
  <c r="E38" i="18"/>
  <c r="D38" i="18"/>
  <c r="C38" i="18"/>
  <c r="B38" i="18"/>
  <c r="A38" i="18"/>
  <c r="I37" i="18"/>
  <c r="H37" i="18"/>
  <c r="G37" i="18"/>
  <c r="F37" i="18"/>
  <c r="E37" i="18"/>
  <c r="D37" i="18"/>
  <c r="C37" i="18"/>
  <c r="B37" i="18"/>
  <c r="A37" i="18"/>
  <c r="I36" i="18"/>
  <c r="H36" i="18"/>
  <c r="G36" i="18"/>
  <c r="F36" i="18"/>
  <c r="E36" i="18"/>
  <c r="D36" i="18"/>
  <c r="C36" i="18"/>
  <c r="B36" i="18"/>
  <c r="A36" i="18"/>
  <c r="I35" i="18"/>
  <c r="H35" i="18"/>
  <c r="G35" i="18"/>
  <c r="F35" i="18"/>
  <c r="E35" i="18"/>
  <c r="D35" i="18"/>
  <c r="C35" i="18"/>
  <c r="B35" i="18"/>
  <c r="A35" i="18"/>
  <c r="I34" i="18"/>
  <c r="H34" i="18"/>
  <c r="G34" i="18"/>
  <c r="F34" i="18"/>
  <c r="E34" i="18"/>
  <c r="D34" i="18"/>
  <c r="C34" i="18"/>
  <c r="B34" i="18"/>
  <c r="A34" i="18"/>
  <c r="I33" i="18"/>
  <c r="H33" i="18"/>
  <c r="G33" i="18"/>
  <c r="F33" i="18"/>
  <c r="E33" i="18"/>
  <c r="D33" i="18"/>
  <c r="C33" i="18"/>
  <c r="B33" i="18"/>
  <c r="A33" i="18"/>
  <c r="I32" i="18"/>
  <c r="H32" i="18"/>
  <c r="G32" i="18"/>
  <c r="F32" i="18"/>
  <c r="E32" i="18"/>
  <c r="D32" i="18"/>
  <c r="C32" i="18"/>
  <c r="B32" i="18"/>
  <c r="A32" i="18"/>
  <c r="I31" i="18"/>
  <c r="H31" i="18"/>
  <c r="G31" i="18"/>
  <c r="F31" i="18"/>
  <c r="E31" i="18"/>
  <c r="D31" i="18"/>
  <c r="C31" i="18"/>
  <c r="B31" i="18"/>
  <c r="A31" i="18"/>
  <c r="I30" i="18"/>
  <c r="H30" i="18"/>
  <c r="G30" i="18"/>
  <c r="F30" i="18"/>
  <c r="E30" i="18"/>
  <c r="D30" i="18"/>
  <c r="C30" i="18"/>
  <c r="B30" i="18"/>
  <c r="A30" i="18"/>
  <c r="I29" i="18"/>
  <c r="H29" i="18"/>
  <c r="G29" i="18"/>
  <c r="F29" i="18"/>
  <c r="E29" i="18"/>
  <c r="D29" i="18"/>
  <c r="C29" i="18"/>
  <c r="B29" i="18"/>
  <c r="A29" i="18"/>
  <c r="I28" i="18"/>
  <c r="H28" i="18"/>
  <c r="G28" i="18"/>
  <c r="F28" i="18"/>
  <c r="E28" i="18"/>
  <c r="D28" i="18"/>
  <c r="C28" i="18"/>
  <c r="B28" i="18"/>
  <c r="A28" i="18"/>
  <c r="I27" i="18"/>
  <c r="H27" i="18"/>
  <c r="G27" i="18"/>
  <c r="F27" i="18"/>
  <c r="E27" i="18"/>
  <c r="D27" i="18"/>
  <c r="C27" i="18"/>
  <c r="B27" i="18"/>
  <c r="A27" i="18"/>
  <c r="I26" i="18"/>
  <c r="H26" i="18"/>
  <c r="G26" i="18"/>
  <c r="F26" i="18"/>
  <c r="E26" i="18"/>
  <c r="D26" i="18"/>
  <c r="C26" i="18"/>
  <c r="B26" i="18"/>
  <c r="A26" i="18"/>
  <c r="I25" i="18"/>
  <c r="H25" i="18"/>
  <c r="G25" i="18"/>
  <c r="F25" i="18"/>
  <c r="E25" i="18"/>
  <c r="D25" i="18"/>
  <c r="C25" i="18"/>
  <c r="B25" i="18"/>
  <c r="A25" i="18"/>
  <c r="I24" i="18"/>
  <c r="H24" i="18"/>
  <c r="G24" i="18"/>
  <c r="F24" i="18"/>
  <c r="E24" i="18"/>
  <c r="D24" i="18"/>
  <c r="C24" i="18"/>
  <c r="B24" i="18"/>
  <c r="A24" i="18"/>
  <c r="I23" i="18"/>
  <c r="H23" i="18"/>
  <c r="G23" i="18"/>
  <c r="F23" i="18"/>
  <c r="E23" i="18"/>
  <c r="D23" i="18"/>
  <c r="C23" i="18"/>
  <c r="B23" i="18"/>
  <c r="A23" i="18"/>
  <c r="I22" i="18"/>
  <c r="H22" i="18"/>
  <c r="G22" i="18"/>
  <c r="F22" i="18"/>
  <c r="E22" i="18"/>
  <c r="D22" i="18"/>
  <c r="C22" i="18"/>
  <c r="B22" i="18"/>
  <c r="A22" i="18"/>
  <c r="I21" i="18"/>
  <c r="H21" i="18"/>
  <c r="G21" i="18"/>
  <c r="F21" i="18"/>
  <c r="E21" i="18"/>
  <c r="D21" i="18"/>
  <c r="C21" i="18"/>
  <c r="B21" i="18"/>
  <c r="A21" i="18"/>
  <c r="I20" i="18"/>
  <c r="H20" i="18"/>
  <c r="G20" i="18"/>
  <c r="F20" i="18"/>
  <c r="E20" i="18"/>
  <c r="D20" i="18"/>
  <c r="C20" i="18"/>
  <c r="B20" i="18"/>
  <c r="A20" i="18"/>
  <c r="I19" i="18"/>
  <c r="H19" i="18"/>
  <c r="G19" i="18"/>
  <c r="F19" i="18"/>
  <c r="E19" i="18"/>
  <c r="D19" i="18"/>
  <c r="C19" i="18"/>
  <c r="B19" i="18"/>
  <c r="A19" i="18"/>
  <c r="I18" i="18"/>
  <c r="H18" i="18"/>
  <c r="G18" i="18"/>
  <c r="F18" i="18"/>
  <c r="E18" i="18"/>
  <c r="D18" i="18"/>
  <c r="C18" i="18"/>
  <c r="B18" i="18"/>
  <c r="A18" i="18"/>
  <c r="I17" i="18"/>
  <c r="H17" i="18"/>
  <c r="G17" i="18"/>
  <c r="F17" i="18"/>
  <c r="E17" i="18"/>
  <c r="D17" i="18"/>
  <c r="C17" i="18"/>
  <c r="B17" i="18"/>
  <c r="A17" i="18"/>
  <c r="I16" i="18"/>
  <c r="H16" i="18"/>
  <c r="G16" i="18"/>
  <c r="F16" i="18"/>
  <c r="E16" i="18"/>
  <c r="D16" i="18"/>
  <c r="C16" i="18"/>
  <c r="B16" i="18"/>
  <c r="A16" i="18"/>
  <c r="I15" i="18"/>
  <c r="H15" i="18"/>
  <c r="G15" i="18"/>
  <c r="F15" i="18"/>
  <c r="E15" i="18"/>
  <c r="D15" i="18"/>
  <c r="C15" i="18"/>
  <c r="B15" i="18"/>
  <c r="A15" i="18"/>
  <c r="I14" i="18"/>
  <c r="H14" i="18"/>
  <c r="G14" i="18"/>
  <c r="F14" i="18"/>
  <c r="E14" i="18"/>
  <c r="D14" i="18"/>
  <c r="C14" i="18"/>
  <c r="B14" i="18"/>
  <c r="A14" i="18"/>
  <c r="I13" i="18"/>
  <c r="H13" i="18"/>
  <c r="G13" i="18"/>
  <c r="F13" i="18"/>
  <c r="E13" i="18"/>
  <c r="D13" i="18"/>
  <c r="C13" i="18"/>
  <c r="B13" i="18"/>
  <c r="A13" i="18"/>
  <c r="I12" i="18"/>
  <c r="H12" i="18"/>
  <c r="G12" i="18"/>
  <c r="F12" i="18"/>
  <c r="E12" i="18"/>
  <c r="D12" i="18"/>
  <c r="C12" i="18"/>
  <c r="B12" i="18"/>
  <c r="A12" i="18"/>
  <c r="I11" i="18"/>
  <c r="H11" i="18"/>
  <c r="G11" i="18"/>
  <c r="F11" i="18"/>
  <c r="E11" i="18"/>
  <c r="D11" i="18"/>
  <c r="C11" i="18"/>
  <c r="B11" i="18"/>
  <c r="A11" i="18"/>
  <c r="I10" i="18"/>
  <c r="H10" i="18"/>
  <c r="G10" i="18"/>
  <c r="F10" i="18"/>
  <c r="E10" i="18"/>
  <c r="D10" i="18"/>
  <c r="C10" i="18"/>
  <c r="B10" i="18"/>
  <c r="A10" i="18"/>
  <c r="I9" i="18"/>
  <c r="H9" i="18"/>
  <c r="G9" i="18"/>
  <c r="F9" i="18"/>
  <c r="E9" i="18"/>
  <c r="D9" i="18"/>
  <c r="C9" i="18"/>
  <c r="B9" i="18"/>
  <c r="A9" i="18"/>
  <c r="I8" i="18"/>
  <c r="H8" i="18"/>
  <c r="G8" i="18"/>
  <c r="F8" i="18"/>
  <c r="E8" i="18"/>
  <c r="D8" i="18"/>
  <c r="C8" i="18"/>
  <c r="B8" i="18"/>
  <c r="A8" i="18"/>
  <c r="I7" i="18"/>
  <c r="H7" i="18"/>
  <c r="G7" i="18"/>
  <c r="F7" i="18"/>
  <c r="E7" i="18"/>
  <c r="D7" i="18"/>
  <c r="C7" i="18"/>
  <c r="B7" i="18"/>
  <c r="A7" i="18"/>
  <c r="I6" i="18"/>
  <c r="H6" i="18"/>
  <c r="G6" i="18"/>
  <c r="F6" i="18"/>
  <c r="E6" i="18"/>
  <c r="D6" i="18"/>
  <c r="C6" i="18"/>
  <c r="B6" i="18"/>
  <c r="A6" i="18"/>
  <c r="I5" i="18"/>
  <c r="H5" i="18"/>
  <c r="G5" i="18"/>
  <c r="F5" i="18"/>
  <c r="E5" i="18"/>
  <c r="D5" i="18"/>
  <c r="C5" i="18"/>
  <c r="B5" i="18"/>
  <c r="A5" i="18"/>
  <c r="I26" i="5"/>
  <c r="H26" i="5"/>
  <c r="G26" i="5"/>
  <c r="F26" i="5"/>
  <c r="E26" i="5"/>
  <c r="D26" i="5"/>
  <c r="C26" i="5"/>
  <c r="B26" i="5"/>
  <c r="A26" i="5"/>
  <c r="I25" i="5"/>
  <c r="H25" i="5"/>
  <c r="G25" i="5"/>
  <c r="F25" i="5"/>
  <c r="E25" i="5"/>
  <c r="D25" i="5"/>
  <c r="C25" i="5"/>
  <c r="B25" i="5"/>
  <c r="A25" i="5"/>
  <c r="I24" i="5"/>
  <c r="H24" i="5"/>
  <c r="G24" i="5"/>
  <c r="F24" i="5"/>
  <c r="E24" i="5"/>
  <c r="D24" i="5"/>
  <c r="C24" i="5"/>
  <c r="B24" i="5"/>
  <c r="A24" i="5"/>
  <c r="I23" i="5"/>
  <c r="H23" i="5"/>
  <c r="G23" i="5"/>
  <c r="F23" i="5"/>
  <c r="E23" i="5"/>
  <c r="D23" i="5"/>
  <c r="C23" i="5"/>
  <c r="B23" i="5"/>
  <c r="A23" i="5"/>
  <c r="I22" i="5"/>
  <c r="H22" i="5"/>
  <c r="G22" i="5"/>
  <c r="F22" i="5"/>
  <c r="E22" i="5"/>
  <c r="D22" i="5"/>
  <c r="C22" i="5"/>
  <c r="B22" i="5"/>
  <c r="A22" i="5"/>
  <c r="I21" i="5"/>
  <c r="H21" i="5"/>
  <c r="G21" i="5"/>
  <c r="F21" i="5"/>
  <c r="E21" i="5"/>
  <c r="D21" i="5"/>
  <c r="C21" i="5"/>
  <c r="B21" i="5"/>
  <c r="A21" i="5"/>
  <c r="I20" i="5"/>
  <c r="H20" i="5"/>
  <c r="G20" i="5"/>
  <c r="F20" i="5"/>
  <c r="E20" i="5"/>
  <c r="D20" i="5"/>
  <c r="C20" i="5"/>
  <c r="B20" i="5"/>
  <c r="A20" i="5"/>
  <c r="I19" i="5"/>
  <c r="E19" i="5"/>
  <c r="D19" i="5"/>
  <c r="C19" i="5"/>
  <c r="B19" i="5"/>
  <c r="A19" i="5"/>
  <c r="I18" i="5"/>
  <c r="H18" i="5"/>
  <c r="G18" i="5"/>
  <c r="F18" i="5"/>
  <c r="E18" i="5"/>
  <c r="D18" i="5"/>
  <c r="C18" i="5"/>
  <c r="B18" i="5"/>
  <c r="A18" i="5"/>
  <c r="I17" i="5"/>
  <c r="H17" i="5"/>
  <c r="G17" i="5"/>
  <c r="F17" i="5"/>
  <c r="E17" i="5"/>
  <c r="D17" i="5"/>
  <c r="C17" i="5"/>
  <c r="B17" i="5"/>
  <c r="A17" i="5"/>
  <c r="I16" i="5"/>
  <c r="H16" i="5"/>
  <c r="G16" i="5"/>
  <c r="F16" i="5"/>
  <c r="E16" i="5"/>
  <c r="D16" i="5"/>
  <c r="C16" i="5"/>
  <c r="B16" i="5"/>
  <c r="A16" i="5"/>
  <c r="I15" i="5"/>
  <c r="H15" i="5"/>
  <c r="G15" i="5"/>
  <c r="F15" i="5"/>
  <c r="E15" i="5"/>
  <c r="D15" i="5"/>
  <c r="C15" i="5"/>
  <c r="B15" i="5"/>
  <c r="A15" i="5"/>
  <c r="I14" i="5"/>
  <c r="H14" i="5"/>
  <c r="G14" i="5"/>
  <c r="F14" i="5"/>
  <c r="E14" i="5"/>
  <c r="D14" i="5"/>
  <c r="C14" i="5"/>
  <c r="B14" i="5"/>
  <c r="A14" i="5"/>
  <c r="I13" i="5"/>
  <c r="H13" i="5"/>
  <c r="G13" i="5"/>
  <c r="F13" i="5"/>
  <c r="E13" i="5"/>
  <c r="D13" i="5"/>
  <c r="C13" i="5"/>
  <c r="B13" i="5"/>
  <c r="A13" i="5"/>
  <c r="I12" i="5"/>
  <c r="H12" i="5"/>
  <c r="G12" i="5"/>
  <c r="F12" i="5"/>
  <c r="E12" i="5"/>
  <c r="D12" i="5"/>
  <c r="C12" i="5"/>
  <c r="B12" i="5"/>
  <c r="A12" i="5"/>
  <c r="I11" i="5"/>
  <c r="H11" i="5"/>
  <c r="G11" i="5"/>
  <c r="F11" i="5"/>
  <c r="E11" i="5"/>
  <c r="D11" i="5"/>
  <c r="C11" i="5"/>
  <c r="B11" i="5"/>
  <c r="A11" i="5"/>
  <c r="I10" i="5"/>
  <c r="H10" i="5"/>
  <c r="G10" i="5"/>
  <c r="F10" i="5"/>
  <c r="E10" i="5"/>
  <c r="D10" i="5"/>
  <c r="C10" i="5"/>
  <c r="B10" i="5"/>
  <c r="A10" i="5"/>
  <c r="I9" i="5"/>
  <c r="H9" i="5"/>
  <c r="G9" i="5"/>
  <c r="F9" i="5"/>
  <c r="E9" i="5"/>
  <c r="D9" i="5"/>
  <c r="C9" i="5"/>
  <c r="B9" i="5"/>
  <c r="A9" i="5"/>
  <c r="H8" i="5"/>
  <c r="G8" i="5"/>
  <c r="F8" i="5"/>
  <c r="E8" i="5"/>
  <c r="D8" i="5"/>
  <c r="C8" i="5"/>
  <c r="B8" i="5"/>
  <c r="A8" i="5"/>
  <c r="I7" i="5"/>
  <c r="H7" i="5"/>
  <c r="G7" i="5"/>
  <c r="F7" i="5"/>
  <c r="E7" i="5"/>
  <c r="D7" i="5"/>
  <c r="C7" i="5"/>
  <c r="B7" i="5"/>
  <c r="A7" i="5"/>
  <c r="I6" i="5"/>
  <c r="H6" i="5"/>
  <c r="G6" i="5"/>
  <c r="F6" i="5"/>
  <c r="E6" i="5"/>
  <c r="D6" i="5"/>
  <c r="C6" i="5"/>
  <c r="B6" i="5"/>
  <c r="A6" i="5"/>
  <c r="I5" i="5"/>
  <c r="H5" i="5"/>
  <c r="G5" i="5"/>
  <c r="F5" i="5"/>
  <c r="E5" i="5"/>
  <c r="D5" i="5"/>
  <c r="C5" i="5"/>
  <c r="B5" i="5"/>
  <c r="A5" i="5"/>
  <c r="I27" i="5"/>
  <c r="H27" i="5"/>
  <c r="G27" i="5"/>
  <c r="F27" i="5"/>
  <c r="E27" i="5"/>
  <c r="D27" i="5"/>
  <c r="C27" i="5"/>
  <c r="B27" i="5"/>
  <c r="A27" i="5"/>
  <c r="B32" i="5"/>
  <c r="B35" i="5" s="1"/>
  <c r="B38" i="5" s="1"/>
  <c r="C32" i="5"/>
  <c r="C33" i="5" s="1"/>
  <c r="C34" i="5" s="1"/>
  <c r="C35" i="5" s="1"/>
  <c r="C36" i="5" s="1"/>
  <c r="C37" i="5" s="1"/>
  <c r="B33" i="5"/>
  <c r="B36" i="5" s="1"/>
  <c r="B39" i="5" s="1"/>
  <c r="B34" i="5"/>
  <c r="B37" i="5" s="1"/>
  <c r="B40" i="5" s="1"/>
  <c r="C45" i="5"/>
  <c r="C46" i="5" s="1"/>
  <c r="C47" i="5" s="1"/>
  <c r="C48" i="5" s="1"/>
  <c r="C49" i="5" s="1"/>
  <c r="C50" i="5" s="1"/>
  <c r="C51" i="5" s="1"/>
  <c r="G9" i="9"/>
  <c r="G8" i="9"/>
  <c r="G10" i="9"/>
  <c r="G11" i="9"/>
  <c r="C72" i="16"/>
  <c r="C30" i="17"/>
  <c r="C31" i="17" s="1"/>
  <c r="C32" i="17" s="1"/>
  <c r="C33" i="17" s="1"/>
  <c r="C34" i="17" s="1"/>
  <c r="C35" i="17" s="1"/>
  <c r="C36" i="17" s="1"/>
  <c r="C37" i="17" s="1"/>
  <c r="C38" i="17" s="1"/>
  <c r="C39" i="17" s="1"/>
  <c r="C40" i="17" s="1"/>
  <c r="C41" i="17" s="1"/>
  <c r="C42" i="17" s="1"/>
  <c r="C43" i="17" s="1"/>
  <c r="C44" i="17" s="1"/>
  <c r="C45" i="17" s="1"/>
  <c r="C46" i="17" s="1"/>
  <c r="C47" i="17" s="1"/>
  <c r="C48" i="17" s="1"/>
  <c r="C49" i="17" s="1"/>
  <c r="C50" i="17" s="1"/>
  <c r="C51" i="17" s="1"/>
  <c r="C52" i="17" s="1"/>
  <c r="C53" i="17" s="1"/>
  <c r="C54" i="17" s="1"/>
  <c r="C55" i="17" s="1"/>
  <c r="C56" i="17" s="1"/>
  <c r="I27" i="17"/>
  <c r="H27" i="17"/>
  <c r="G27" i="17"/>
  <c r="F27" i="17"/>
  <c r="E27" i="17"/>
  <c r="D27" i="17"/>
  <c r="C27" i="17"/>
  <c r="B27" i="17"/>
  <c r="A27" i="17"/>
  <c r="I26" i="17"/>
  <c r="H26" i="17"/>
  <c r="G26" i="17"/>
  <c r="F26" i="17"/>
  <c r="E26" i="17"/>
  <c r="D26" i="17"/>
  <c r="C26" i="17"/>
  <c r="B26" i="17"/>
  <c r="A26" i="17"/>
  <c r="I25" i="17"/>
  <c r="H25" i="17"/>
  <c r="G25" i="17"/>
  <c r="F25" i="17"/>
  <c r="E25" i="17"/>
  <c r="D25" i="17"/>
  <c r="C25" i="17"/>
  <c r="B25" i="17"/>
  <c r="A25" i="17"/>
  <c r="I24" i="17"/>
  <c r="H24" i="17"/>
  <c r="G24" i="17"/>
  <c r="F24" i="17"/>
  <c r="E24" i="17"/>
  <c r="D24" i="17"/>
  <c r="C24" i="17"/>
  <c r="B24" i="17"/>
  <c r="A24" i="17"/>
  <c r="I23" i="17"/>
  <c r="H23" i="17"/>
  <c r="G23" i="17"/>
  <c r="F23" i="17"/>
  <c r="E23" i="17"/>
  <c r="D23" i="17"/>
  <c r="C23" i="17"/>
  <c r="B23" i="17"/>
  <c r="A23" i="17"/>
  <c r="I22" i="17"/>
  <c r="H22" i="17"/>
  <c r="G22" i="17"/>
  <c r="F22" i="17"/>
  <c r="E22" i="17"/>
  <c r="D22" i="17"/>
  <c r="C22" i="17"/>
  <c r="B22" i="17"/>
  <c r="A22" i="17"/>
  <c r="I21" i="17"/>
  <c r="H21" i="17"/>
  <c r="G21" i="17"/>
  <c r="F21" i="17"/>
  <c r="E21" i="17"/>
  <c r="D21" i="17"/>
  <c r="C21" i="17"/>
  <c r="B21" i="17"/>
  <c r="A21" i="17"/>
  <c r="I20" i="17"/>
  <c r="E20" i="17"/>
  <c r="D20" i="17"/>
  <c r="C20" i="17"/>
  <c r="B20" i="17"/>
  <c r="A20" i="17"/>
  <c r="I19" i="17"/>
  <c r="H19" i="17"/>
  <c r="G19" i="17"/>
  <c r="F19" i="17"/>
  <c r="E19" i="17"/>
  <c r="D19" i="17"/>
  <c r="C19" i="17"/>
  <c r="B19" i="17"/>
  <c r="A19" i="17"/>
  <c r="I18" i="17"/>
  <c r="H18" i="17"/>
  <c r="G18" i="17"/>
  <c r="F18" i="17"/>
  <c r="E18" i="17"/>
  <c r="D18" i="17"/>
  <c r="C18" i="17"/>
  <c r="B18" i="17"/>
  <c r="A18" i="17"/>
  <c r="I17" i="17"/>
  <c r="H17" i="17"/>
  <c r="G17" i="17"/>
  <c r="F17" i="17"/>
  <c r="E17" i="17"/>
  <c r="D17" i="17"/>
  <c r="C17" i="17"/>
  <c r="B17" i="17"/>
  <c r="A17" i="17"/>
  <c r="I16" i="17"/>
  <c r="H16" i="17"/>
  <c r="G16" i="17"/>
  <c r="F16" i="17"/>
  <c r="E16" i="17"/>
  <c r="D16" i="17"/>
  <c r="C16" i="17"/>
  <c r="B16" i="17"/>
  <c r="A16" i="17"/>
  <c r="I15" i="17"/>
  <c r="H15" i="17"/>
  <c r="G15" i="17"/>
  <c r="F15" i="17"/>
  <c r="E15" i="17"/>
  <c r="D15" i="17"/>
  <c r="C15" i="17"/>
  <c r="B15" i="17"/>
  <c r="A15" i="17"/>
  <c r="I14" i="17"/>
  <c r="H14" i="17"/>
  <c r="G14" i="17"/>
  <c r="F14" i="17"/>
  <c r="E14" i="17"/>
  <c r="D14" i="17"/>
  <c r="C14" i="17"/>
  <c r="B14" i="17"/>
  <c r="A14" i="17"/>
  <c r="I13" i="17"/>
  <c r="H13" i="17"/>
  <c r="G13" i="17"/>
  <c r="F13" i="17"/>
  <c r="E13" i="17"/>
  <c r="D13" i="17"/>
  <c r="C13" i="17"/>
  <c r="B13" i="17"/>
  <c r="A13" i="17"/>
  <c r="I12" i="17"/>
  <c r="H12" i="17"/>
  <c r="G12" i="17"/>
  <c r="F12" i="17"/>
  <c r="E12" i="17"/>
  <c r="D12" i="17"/>
  <c r="C12" i="17"/>
  <c r="B12" i="17"/>
  <c r="A12" i="17"/>
  <c r="I11" i="17"/>
  <c r="H11" i="17"/>
  <c r="G11" i="17"/>
  <c r="F11" i="17"/>
  <c r="E11" i="17"/>
  <c r="D11" i="17"/>
  <c r="C11" i="17"/>
  <c r="B11" i="17"/>
  <c r="A11" i="17"/>
  <c r="I10" i="17"/>
  <c r="H10" i="17"/>
  <c r="G10" i="17"/>
  <c r="F10" i="17"/>
  <c r="E10" i="17"/>
  <c r="D10" i="17"/>
  <c r="C10" i="17"/>
  <c r="B10" i="17"/>
  <c r="A10" i="17"/>
  <c r="H9" i="17"/>
  <c r="G9" i="17"/>
  <c r="F9" i="17"/>
  <c r="E9" i="17"/>
  <c r="D9" i="17"/>
  <c r="C9" i="17"/>
  <c r="B9" i="17"/>
  <c r="A9" i="17"/>
  <c r="I8" i="17"/>
  <c r="H8" i="17"/>
  <c r="G8" i="17"/>
  <c r="F8" i="17"/>
  <c r="E8" i="17"/>
  <c r="D8" i="17"/>
  <c r="C8" i="17"/>
  <c r="B8" i="17"/>
  <c r="A8" i="17"/>
  <c r="I7" i="17"/>
  <c r="H7" i="17"/>
  <c r="G7" i="17"/>
  <c r="F7" i="17"/>
  <c r="E7" i="17"/>
  <c r="D7" i="17"/>
  <c r="C7" i="17"/>
  <c r="B7" i="17"/>
  <c r="A7" i="17"/>
  <c r="I6" i="17"/>
  <c r="H6" i="17"/>
  <c r="G6" i="17"/>
  <c r="F6" i="17"/>
  <c r="E6" i="17"/>
  <c r="D6" i="17"/>
  <c r="C6" i="17"/>
  <c r="B6" i="17"/>
  <c r="A6" i="17"/>
  <c r="I5" i="17"/>
  <c r="H5" i="17"/>
  <c r="G5" i="17"/>
  <c r="F5" i="17"/>
  <c r="E5" i="17"/>
  <c r="D5" i="17"/>
  <c r="C5" i="17"/>
  <c r="B5" i="17"/>
  <c r="A5" i="17"/>
  <c r="C30" i="16"/>
  <c r="C31" i="16" s="1"/>
  <c r="C32" i="16" s="1"/>
  <c r="C33" i="16" s="1"/>
  <c r="C34" i="16" s="1"/>
  <c r="C35" i="16" s="1"/>
  <c r="C36" i="16" s="1"/>
  <c r="C37" i="16" s="1"/>
  <c r="C38" i="16" s="1"/>
  <c r="C39" i="16" s="1"/>
  <c r="C40" i="16" s="1"/>
  <c r="C41" i="16" s="1"/>
  <c r="C42" i="16" s="1"/>
  <c r="C43" i="16" s="1"/>
  <c r="C44" i="16" s="1"/>
  <c r="C45" i="16" s="1"/>
  <c r="C46" i="16" s="1"/>
  <c r="C47" i="16" s="1"/>
  <c r="C48" i="16" s="1"/>
  <c r="C49" i="16" s="1"/>
  <c r="C50" i="16" s="1"/>
  <c r="C51" i="16" s="1"/>
  <c r="C52" i="16" s="1"/>
  <c r="C53" i="16" s="1"/>
  <c r="C54" i="16" s="1"/>
  <c r="C55" i="16" s="1"/>
  <c r="C56" i="16" s="1"/>
  <c r="C57" i="16" s="1"/>
  <c r="C58" i="16" s="1"/>
  <c r="C59" i="16" s="1"/>
  <c r="C60" i="16" s="1"/>
  <c r="C61" i="16" s="1"/>
  <c r="C62" i="16" s="1"/>
  <c r="C63" i="16" s="1"/>
  <c r="C64" i="16" s="1"/>
  <c r="C65" i="16" s="1"/>
  <c r="C66" i="16" s="1"/>
  <c r="C67" i="16" s="1"/>
  <c r="C68" i="16" s="1"/>
  <c r="C69" i="16" s="1"/>
  <c r="C70" i="16" s="1"/>
  <c r="C71" i="16" s="1"/>
  <c r="I27" i="16"/>
  <c r="H27" i="16"/>
  <c r="G27" i="16"/>
  <c r="F27" i="16"/>
  <c r="E27" i="16"/>
  <c r="D27" i="16"/>
  <c r="C27" i="16"/>
  <c r="B27" i="16"/>
  <c r="A27" i="16"/>
  <c r="I26" i="16"/>
  <c r="H26" i="16"/>
  <c r="G26" i="16"/>
  <c r="F26" i="16"/>
  <c r="E26" i="16"/>
  <c r="D26" i="16"/>
  <c r="C26" i="16"/>
  <c r="B26" i="16"/>
  <c r="A26" i="16"/>
  <c r="I25" i="16"/>
  <c r="H25" i="16"/>
  <c r="G25" i="16"/>
  <c r="F25" i="16"/>
  <c r="E25" i="16"/>
  <c r="D25" i="16"/>
  <c r="C25" i="16"/>
  <c r="B25" i="16"/>
  <c r="A25" i="16"/>
  <c r="I24" i="16"/>
  <c r="H24" i="16"/>
  <c r="G24" i="16"/>
  <c r="F24" i="16"/>
  <c r="E24" i="16"/>
  <c r="D24" i="16"/>
  <c r="C24" i="16"/>
  <c r="B24" i="16"/>
  <c r="A24" i="16"/>
  <c r="I23" i="16"/>
  <c r="H23" i="16"/>
  <c r="G23" i="16"/>
  <c r="F23" i="16"/>
  <c r="E23" i="16"/>
  <c r="D23" i="16"/>
  <c r="C23" i="16"/>
  <c r="B23" i="16"/>
  <c r="A23" i="16"/>
  <c r="I22" i="16"/>
  <c r="H22" i="16"/>
  <c r="G22" i="16"/>
  <c r="F22" i="16"/>
  <c r="E22" i="16"/>
  <c r="D22" i="16"/>
  <c r="C22" i="16"/>
  <c r="B22" i="16"/>
  <c r="A22" i="16"/>
  <c r="I21" i="16"/>
  <c r="H21" i="16"/>
  <c r="G21" i="16"/>
  <c r="F21" i="16"/>
  <c r="E21" i="16"/>
  <c r="D21" i="16"/>
  <c r="C21" i="16"/>
  <c r="B21" i="16"/>
  <c r="A21" i="16"/>
  <c r="I20" i="16"/>
  <c r="E20" i="16"/>
  <c r="D20" i="16"/>
  <c r="C20" i="16"/>
  <c r="B20" i="16"/>
  <c r="A20" i="16"/>
  <c r="I19" i="16"/>
  <c r="H19" i="16"/>
  <c r="G19" i="16"/>
  <c r="F19" i="16"/>
  <c r="E19" i="16"/>
  <c r="D19" i="16"/>
  <c r="C19" i="16"/>
  <c r="B19" i="16"/>
  <c r="A19" i="16"/>
  <c r="I18" i="16"/>
  <c r="H18" i="16"/>
  <c r="G18" i="16"/>
  <c r="F18" i="16"/>
  <c r="E18" i="16"/>
  <c r="D18" i="16"/>
  <c r="C18" i="16"/>
  <c r="B18" i="16"/>
  <c r="A18" i="16"/>
  <c r="I17" i="16"/>
  <c r="H17" i="16"/>
  <c r="G17" i="16"/>
  <c r="F17" i="16"/>
  <c r="E17" i="16"/>
  <c r="D17" i="16"/>
  <c r="C17" i="16"/>
  <c r="B17" i="16"/>
  <c r="A17" i="16"/>
  <c r="I16" i="16"/>
  <c r="H16" i="16"/>
  <c r="G16" i="16"/>
  <c r="F16" i="16"/>
  <c r="E16" i="16"/>
  <c r="D16" i="16"/>
  <c r="C16" i="16"/>
  <c r="B16" i="16"/>
  <c r="A16" i="16"/>
  <c r="I15" i="16"/>
  <c r="H15" i="16"/>
  <c r="G15" i="16"/>
  <c r="F15" i="16"/>
  <c r="E15" i="16"/>
  <c r="D15" i="16"/>
  <c r="C15" i="16"/>
  <c r="B15" i="16"/>
  <c r="A15" i="16"/>
  <c r="I14" i="16"/>
  <c r="H14" i="16"/>
  <c r="G14" i="16"/>
  <c r="F14" i="16"/>
  <c r="E14" i="16"/>
  <c r="D14" i="16"/>
  <c r="C14" i="16"/>
  <c r="B14" i="16"/>
  <c r="A14" i="16"/>
  <c r="I13" i="16"/>
  <c r="H13" i="16"/>
  <c r="G13" i="16"/>
  <c r="F13" i="16"/>
  <c r="E13" i="16"/>
  <c r="D13" i="16"/>
  <c r="C13" i="16"/>
  <c r="B13" i="16"/>
  <c r="A13" i="16"/>
  <c r="I12" i="16"/>
  <c r="H12" i="16"/>
  <c r="G12" i="16"/>
  <c r="F12" i="16"/>
  <c r="E12" i="16"/>
  <c r="D12" i="16"/>
  <c r="C12" i="16"/>
  <c r="B12" i="16"/>
  <c r="A12" i="16"/>
  <c r="I11" i="16"/>
  <c r="H11" i="16"/>
  <c r="G11" i="16"/>
  <c r="F11" i="16"/>
  <c r="E11" i="16"/>
  <c r="D11" i="16"/>
  <c r="C11" i="16"/>
  <c r="B11" i="16"/>
  <c r="A11" i="16"/>
  <c r="I10" i="16"/>
  <c r="H10" i="16"/>
  <c r="G10" i="16"/>
  <c r="F10" i="16"/>
  <c r="E10" i="16"/>
  <c r="D10" i="16"/>
  <c r="C10" i="16"/>
  <c r="B10" i="16"/>
  <c r="A10" i="16"/>
  <c r="H9" i="16"/>
  <c r="G9" i="16"/>
  <c r="F9" i="16"/>
  <c r="E9" i="16"/>
  <c r="D9" i="16"/>
  <c r="C9" i="16"/>
  <c r="B9" i="16"/>
  <c r="A9" i="16"/>
  <c r="I8" i="16"/>
  <c r="H8" i="16"/>
  <c r="G8" i="16"/>
  <c r="F8" i="16"/>
  <c r="E8" i="16"/>
  <c r="D8" i="16"/>
  <c r="C8" i="16"/>
  <c r="B8" i="16"/>
  <c r="A8" i="16"/>
  <c r="I7" i="16"/>
  <c r="H7" i="16"/>
  <c r="G7" i="16"/>
  <c r="F7" i="16"/>
  <c r="E7" i="16"/>
  <c r="D7" i="16"/>
  <c r="C7" i="16"/>
  <c r="B7" i="16"/>
  <c r="A7" i="16"/>
  <c r="I6" i="16"/>
  <c r="H6" i="16"/>
  <c r="G6" i="16"/>
  <c r="F6" i="16"/>
  <c r="E6" i="16"/>
  <c r="D6" i="16"/>
  <c r="C6" i="16"/>
  <c r="B6" i="16"/>
  <c r="A6" i="16"/>
  <c r="I5" i="16"/>
  <c r="H5" i="16"/>
  <c r="G5" i="16"/>
  <c r="F5" i="16"/>
  <c r="E5" i="16"/>
  <c r="D5" i="16"/>
  <c r="C5" i="16"/>
  <c r="B5" i="16"/>
  <c r="A5" i="16"/>
  <c r="C31" i="6"/>
  <c r="C32" i="6" s="1"/>
  <c r="C33" i="6" s="1"/>
  <c r="C34" i="6" s="1"/>
  <c r="C35" i="6" s="1"/>
  <c r="C36" i="6" s="1"/>
  <c r="C37" i="6" s="1"/>
  <c r="C38" i="6" s="1"/>
  <c r="C39" i="6" s="1"/>
  <c r="C40" i="6" s="1"/>
  <c r="C41" i="6" s="1"/>
  <c r="C42" i="6" s="1"/>
  <c r="C43" i="6" s="1"/>
  <c r="C44" i="6" s="1"/>
  <c r="C45" i="6" s="1"/>
  <c r="C46" i="6" s="1"/>
  <c r="C47" i="6" s="1"/>
  <c r="C48" i="6" s="1"/>
  <c r="C49" i="6" s="1"/>
  <c r="C50" i="6" s="1"/>
  <c r="C51" i="6" s="1"/>
  <c r="C52" i="6" s="1"/>
  <c r="C53" i="6" s="1"/>
  <c r="C54" i="6" s="1"/>
  <c r="C55" i="6" s="1"/>
  <c r="C56" i="6" s="1"/>
  <c r="C57" i="6" s="1"/>
  <c r="C58" i="6" s="1"/>
  <c r="C59" i="6" s="1"/>
  <c r="C60" i="6" s="1"/>
  <c r="C61" i="6" s="1"/>
  <c r="C62" i="6" s="1"/>
  <c r="C63" i="6" s="1"/>
  <c r="C64" i="6" s="1"/>
  <c r="C65" i="6" s="1"/>
  <c r="C66" i="6" s="1"/>
  <c r="C67" i="6" s="1"/>
  <c r="C68" i="6" s="1"/>
  <c r="C69" i="6" s="1"/>
  <c r="C70" i="6" s="1"/>
  <c r="C71" i="6" s="1"/>
  <c r="C72" i="6" s="1"/>
  <c r="C73" i="6" s="1"/>
  <c r="C74" i="6" s="1"/>
  <c r="C75" i="6" s="1"/>
  <c r="C76" i="6" s="1"/>
  <c r="C77" i="6" s="1"/>
  <c r="C78" i="6" s="1"/>
  <c r="C79" i="6" s="1"/>
  <c r="C80" i="6" s="1"/>
  <c r="C81" i="6" s="1"/>
  <c r="C82" i="6" s="1"/>
  <c r="C83" i="6" s="1"/>
  <c r="C84" i="6" s="1"/>
  <c r="C85" i="6" s="1"/>
  <c r="C86" i="6" s="1"/>
  <c r="C87" i="6" s="1"/>
  <c r="C88" i="6" s="1"/>
  <c r="C89" i="6" s="1"/>
  <c r="C90" i="6" s="1"/>
  <c r="C91" i="6" s="1"/>
  <c r="C92" i="6" s="1"/>
  <c r="C93" i="6" s="1"/>
  <c r="C94" i="6" s="1"/>
  <c r="C95" i="6" s="1"/>
  <c r="C96" i="6" s="1"/>
  <c r="C97" i="6" s="1"/>
  <c r="C98" i="6" s="1"/>
  <c r="C99" i="6" s="1"/>
  <c r="C100" i="6" s="1"/>
  <c r="C101" i="6" s="1"/>
  <c r="C102" i="6" s="1"/>
  <c r="C103" i="6" s="1"/>
  <c r="C104" i="6" s="1"/>
  <c r="C105" i="6" s="1"/>
  <c r="C106" i="6" s="1"/>
  <c r="C107" i="6" s="1"/>
  <c r="C108" i="6" s="1"/>
  <c r="C109" i="6" s="1"/>
  <c r="C110" i="6" s="1"/>
  <c r="C111" i="6" s="1"/>
  <c r="C112" i="6" s="1"/>
  <c r="C113" i="6" s="1"/>
  <c r="C114" i="6" s="1"/>
  <c r="C115" i="6" s="1"/>
  <c r="C116" i="6" s="1"/>
  <c r="C117" i="6" s="1"/>
  <c r="C118" i="6" s="1"/>
  <c r="C119" i="6" s="1"/>
  <c r="C120" i="6" s="1"/>
  <c r="C121" i="6" s="1"/>
  <c r="C122" i="6" s="1"/>
  <c r="C123" i="6" s="1"/>
  <c r="C124" i="6" s="1"/>
  <c r="C125" i="6" s="1"/>
  <c r="C126" i="6" s="1"/>
  <c r="C127" i="6" s="1"/>
  <c r="C128" i="6" s="1"/>
  <c r="C129" i="6" s="1"/>
  <c r="C130" i="6" s="1"/>
  <c r="C131" i="6" s="1"/>
  <c r="C132" i="6" s="1"/>
  <c r="C133" i="6" s="1"/>
  <c r="C134" i="6" s="1"/>
  <c r="C135" i="6" s="1"/>
  <c r="C136" i="6" s="1"/>
  <c r="C137" i="6" s="1"/>
  <c r="C138" i="6" s="1"/>
  <c r="C139" i="6" s="1"/>
  <c r="C140" i="6" s="1"/>
  <c r="C141" i="6" s="1"/>
  <c r="C142" i="6" s="1"/>
  <c r="C143" i="6" s="1"/>
  <c r="C144" i="6" s="1"/>
  <c r="C145" i="6" s="1"/>
  <c r="C146" i="6" s="1"/>
  <c r="C147" i="6" s="1"/>
  <c r="C148" i="6" s="1"/>
  <c r="C149" i="6" s="1"/>
  <c r="C150" i="6" s="1"/>
  <c r="C151" i="6" s="1"/>
  <c r="C152" i="6" s="1"/>
  <c r="C153" i="6" s="1"/>
  <c r="G22" i="9"/>
  <c r="G21" i="9"/>
  <c r="G20" i="9"/>
  <c r="G19" i="9"/>
  <c r="G18" i="9"/>
  <c r="C30" i="14"/>
  <c r="C31" i="14" s="1"/>
  <c r="I27" i="14"/>
  <c r="H27" i="14"/>
  <c r="G27" i="14"/>
  <c r="F27" i="14"/>
  <c r="E27" i="14"/>
  <c r="D27" i="14"/>
  <c r="C27" i="14"/>
  <c r="B27" i="14"/>
  <c r="A27" i="14"/>
  <c r="I26" i="14"/>
  <c r="H26" i="14"/>
  <c r="G26" i="14"/>
  <c r="F26" i="14"/>
  <c r="E26" i="14"/>
  <c r="D26" i="14"/>
  <c r="C26" i="14"/>
  <c r="B26" i="14"/>
  <c r="A26" i="14"/>
  <c r="I25" i="14"/>
  <c r="H25" i="14"/>
  <c r="G25" i="14"/>
  <c r="F25" i="14"/>
  <c r="E25" i="14"/>
  <c r="D25" i="14"/>
  <c r="C25" i="14"/>
  <c r="B25" i="14"/>
  <c r="A25" i="14"/>
  <c r="I24" i="14"/>
  <c r="H24" i="14"/>
  <c r="G24" i="14"/>
  <c r="F24" i="14"/>
  <c r="E24" i="14"/>
  <c r="D24" i="14"/>
  <c r="C24" i="14"/>
  <c r="B24" i="14"/>
  <c r="A24" i="14"/>
  <c r="I23" i="14"/>
  <c r="H23" i="14"/>
  <c r="G23" i="14"/>
  <c r="F23" i="14"/>
  <c r="E23" i="14"/>
  <c r="D23" i="14"/>
  <c r="C23" i="14"/>
  <c r="B23" i="14"/>
  <c r="A23" i="14"/>
  <c r="I22" i="14"/>
  <c r="H22" i="14"/>
  <c r="G22" i="14"/>
  <c r="F22" i="14"/>
  <c r="E22" i="14"/>
  <c r="D22" i="14"/>
  <c r="C22" i="14"/>
  <c r="B22" i="14"/>
  <c r="A22" i="14"/>
  <c r="I21" i="14"/>
  <c r="H21" i="14"/>
  <c r="G21" i="14"/>
  <c r="F21" i="14"/>
  <c r="E21" i="14"/>
  <c r="D21" i="14"/>
  <c r="C21" i="14"/>
  <c r="B21" i="14"/>
  <c r="A21" i="14"/>
  <c r="I20" i="14"/>
  <c r="H20" i="14"/>
  <c r="G20" i="14"/>
  <c r="F20" i="14"/>
  <c r="E20" i="14"/>
  <c r="D20" i="14"/>
  <c r="C20" i="14"/>
  <c r="B20" i="14"/>
  <c r="A20" i="14"/>
  <c r="I19" i="14"/>
  <c r="H19" i="14"/>
  <c r="G19" i="14"/>
  <c r="F19" i="14"/>
  <c r="E19" i="14"/>
  <c r="D19" i="14"/>
  <c r="C19" i="14"/>
  <c r="B19" i="14"/>
  <c r="A19" i="14"/>
  <c r="I18" i="14"/>
  <c r="H18" i="14"/>
  <c r="G18" i="14"/>
  <c r="F18" i="14"/>
  <c r="E18" i="14"/>
  <c r="D18" i="14"/>
  <c r="C18" i="14"/>
  <c r="B18" i="14"/>
  <c r="A18" i="14"/>
  <c r="I17" i="14"/>
  <c r="H17" i="14"/>
  <c r="G17" i="14"/>
  <c r="F17" i="14"/>
  <c r="E17" i="14"/>
  <c r="D17" i="14"/>
  <c r="C17" i="14"/>
  <c r="B17" i="14"/>
  <c r="A17" i="14"/>
  <c r="I16" i="14"/>
  <c r="H16" i="14"/>
  <c r="G16" i="14"/>
  <c r="F16" i="14"/>
  <c r="E16" i="14"/>
  <c r="D16" i="14"/>
  <c r="C16" i="14"/>
  <c r="B16" i="14"/>
  <c r="A16" i="14"/>
  <c r="I15" i="14"/>
  <c r="H15" i="14"/>
  <c r="G15" i="14"/>
  <c r="F15" i="14"/>
  <c r="E15" i="14"/>
  <c r="D15" i="14"/>
  <c r="C15" i="14"/>
  <c r="B15" i="14"/>
  <c r="A15" i="14"/>
  <c r="I14" i="14"/>
  <c r="H14" i="14"/>
  <c r="G14" i="14"/>
  <c r="F14" i="14"/>
  <c r="E14" i="14"/>
  <c r="D14" i="14"/>
  <c r="C14" i="14"/>
  <c r="B14" i="14"/>
  <c r="A14" i="14"/>
  <c r="I13" i="14"/>
  <c r="H13" i="14"/>
  <c r="G13" i="14"/>
  <c r="F13" i="14"/>
  <c r="E13" i="14"/>
  <c r="D13" i="14"/>
  <c r="C13" i="14"/>
  <c r="B13" i="14"/>
  <c r="A13" i="14"/>
  <c r="I12" i="14"/>
  <c r="H12" i="14"/>
  <c r="G12" i="14"/>
  <c r="F12" i="14"/>
  <c r="E12" i="14"/>
  <c r="D12" i="14"/>
  <c r="C12" i="14"/>
  <c r="B12" i="14"/>
  <c r="A12" i="14"/>
  <c r="I11" i="14"/>
  <c r="H11" i="14"/>
  <c r="G11" i="14"/>
  <c r="F11" i="14"/>
  <c r="E11" i="14"/>
  <c r="D11" i="14"/>
  <c r="C11" i="14"/>
  <c r="B11" i="14"/>
  <c r="A11" i="14"/>
  <c r="I10" i="14"/>
  <c r="H10" i="14"/>
  <c r="G10" i="14"/>
  <c r="F10" i="14"/>
  <c r="E10" i="14"/>
  <c r="D10" i="14"/>
  <c r="C10" i="14"/>
  <c r="B10" i="14"/>
  <c r="A10" i="14"/>
  <c r="H9" i="14"/>
  <c r="G9" i="14"/>
  <c r="F9" i="14"/>
  <c r="E9" i="14"/>
  <c r="D9" i="14"/>
  <c r="C9" i="14"/>
  <c r="B9" i="14"/>
  <c r="A9" i="14"/>
  <c r="I8" i="14"/>
  <c r="H8" i="14"/>
  <c r="G8" i="14"/>
  <c r="F8" i="14"/>
  <c r="E8" i="14"/>
  <c r="D8" i="14"/>
  <c r="C8" i="14"/>
  <c r="B8" i="14"/>
  <c r="A8" i="14"/>
  <c r="I7" i="14"/>
  <c r="H7" i="14"/>
  <c r="G7" i="14"/>
  <c r="F7" i="14"/>
  <c r="E7" i="14"/>
  <c r="D7" i="14"/>
  <c r="C7" i="14"/>
  <c r="B7" i="14"/>
  <c r="A7" i="14"/>
  <c r="I6" i="14"/>
  <c r="H6" i="14"/>
  <c r="G6" i="14"/>
  <c r="F6" i="14"/>
  <c r="E6" i="14"/>
  <c r="D6" i="14"/>
  <c r="C6" i="14"/>
  <c r="B6" i="14"/>
  <c r="A6" i="14"/>
  <c r="I5" i="14"/>
  <c r="H5" i="14"/>
  <c r="G5" i="14"/>
  <c r="F5" i="14"/>
  <c r="E5" i="14"/>
  <c r="D5" i="14"/>
  <c r="C5" i="14"/>
  <c r="B5" i="14"/>
  <c r="A5" i="14"/>
  <c r="C13" i="6"/>
  <c r="C14" i="6"/>
  <c r="C15" i="6"/>
  <c r="C12" i="6"/>
  <c r="C7" i="6"/>
  <c r="C8" i="6"/>
  <c r="C9" i="6"/>
  <c r="C10" i="6"/>
  <c r="C11" i="6"/>
  <c r="C16" i="6"/>
  <c r="C17" i="6"/>
  <c r="C18" i="6"/>
  <c r="C19" i="6"/>
  <c r="C20" i="6"/>
  <c r="C21" i="6"/>
  <c r="C22" i="6"/>
  <c r="C23" i="6"/>
  <c r="C24" i="6"/>
  <c r="C25" i="6"/>
  <c r="C26" i="6"/>
  <c r="C27" i="6"/>
  <c r="G7" i="9"/>
  <c r="I38" i="13"/>
  <c r="H38" i="13"/>
  <c r="G38" i="13"/>
  <c r="F38" i="13"/>
  <c r="E38" i="13"/>
  <c r="D38" i="13"/>
  <c r="C38" i="13"/>
  <c r="B38" i="13"/>
  <c r="A38" i="13"/>
  <c r="I37" i="13"/>
  <c r="H37" i="13"/>
  <c r="G37" i="13"/>
  <c r="F37" i="13"/>
  <c r="E37" i="13"/>
  <c r="D37" i="13"/>
  <c r="C37" i="13"/>
  <c r="B37" i="13"/>
  <c r="A37" i="13"/>
  <c r="I36" i="13"/>
  <c r="H36" i="13"/>
  <c r="G36" i="13"/>
  <c r="F36" i="13"/>
  <c r="E36" i="13"/>
  <c r="D36" i="13"/>
  <c r="C36" i="13"/>
  <c r="B36" i="13"/>
  <c r="A36" i="13"/>
  <c r="I35" i="13"/>
  <c r="H35" i="13"/>
  <c r="G35" i="13"/>
  <c r="F35" i="13"/>
  <c r="E35" i="13"/>
  <c r="D35" i="13"/>
  <c r="C35" i="13"/>
  <c r="B35" i="13"/>
  <c r="A35" i="13"/>
  <c r="I34" i="13"/>
  <c r="H34" i="13"/>
  <c r="G34" i="13"/>
  <c r="F34" i="13"/>
  <c r="E34" i="13"/>
  <c r="D34" i="13"/>
  <c r="C34" i="13"/>
  <c r="B34" i="13"/>
  <c r="A34" i="13"/>
  <c r="I33" i="13"/>
  <c r="H33" i="13"/>
  <c r="G33" i="13"/>
  <c r="F33" i="13"/>
  <c r="E33" i="13"/>
  <c r="D33" i="13"/>
  <c r="C33" i="13"/>
  <c r="B33" i="13"/>
  <c r="A33" i="13"/>
  <c r="I32" i="13"/>
  <c r="H32" i="13"/>
  <c r="G32" i="13"/>
  <c r="F32" i="13"/>
  <c r="E32" i="13"/>
  <c r="D32" i="13"/>
  <c r="C32" i="13"/>
  <c r="B32" i="13"/>
  <c r="A32" i="13"/>
  <c r="I31" i="13"/>
  <c r="H31" i="13"/>
  <c r="G31" i="13"/>
  <c r="F31" i="13"/>
  <c r="E31" i="13"/>
  <c r="D31" i="13"/>
  <c r="C31" i="13"/>
  <c r="B31" i="13"/>
  <c r="A31" i="13"/>
  <c r="I30" i="13"/>
  <c r="H30" i="13"/>
  <c r="G30" i="13"/>
  <c r="F30" i="13"/>
  <c r="E30" i="13"/>
  <c r="D30" i="13"/>
  <c r="C30" i="13"/>
  <c r="B30" i="13"/>
  <c r="A30" i="13"/>
  <c r="I29" i="13"/>
  <c r="H29" i="13"/>
  <c r="G29" i="13"/>
  <c r="F29" i="13"/>
  <c r="E29" i="13"/>
  <c r="D29" i="13"/>
  <c r="C29" i="13"/>
  <c r="B29" i="13"/>
  <c r="A29" i="13"/>
  <c r="I28" i="13"/>
  <c r="H28" i="13"/>
  <c r="G28" i="13"/>
  <c r="F28" i="13"/>
  <c r="E28" i="13"/>
  <c r="D28" i="13"/>
  <c r="C28" i="13"/>
  <c r="B28" i="13"/>
  <c r="A28" i="13"/>
  <c r="I27" i="13"/>
  <c r="H27" i="13"/>
  <c r="G27" i="13"/>
  <c r="F27" i="13"/>
  <c r="E27" i="13"/>
  <c r="D27" i="13"/>
  <c r="C27" i="13"/>
  <c r="B27" i="13"/>
  <c r="A27" i="13"/>
  <c r="I26" i="13"/>
  <c r="H26" i="13"/>
  <c r="G26" i="13"/>
  <c r="F26" i="13"/>
  <c r="E26" i="13"/>
  <c r="D26" i="13"/>
  <c r="C26" i="13"/>
  <c r="B26" i="13"/>
  <c r="A26" i="13"/>
  <c r="I25" i="13"/>
  <c r="H25" i="13"/>
  <c r="G25" i="13"/>
  <c r="F25" i="13"/>
  <c r="E25" i="13"/>
  <c r="D25" i="13"/>
  <c r="C25" i="13"/>
  <c r="B25" i="13"/>
  <c r="A25" i="13"/>
  <c r="I24" i="13"/>
  <c r="H24" i="13"/>
  <c r="G24" i="13"/>
  <c r="F24" i="13"/>
  <c r="E24" i="13"/>
  <c r="D24" i="13"/>
  <c r="C24" i="13"/>
  <c r="B24" i="13"/>
  <c r="A24" i="13"/>
  <c r="I23" i="13"/>
  <c r="H23" i="13"/>
  <c r="G23" i="13"/>
  <c r="F23" i="13"/>
  <c r="E23" i="13"/>
  <c r="D23" i="13"/>
  <c r="C23" i="13"/>
  <c r="B23" i="13"/>
  <c r="A23" i="13"/>
  <c r="I22" i="13"/>
  <c r="H22" i="13"/>
  <c r="G22" i="13"/>
  <c r="F22" i="13"/>
  <c r="E22" i="13"/>
  <c r="D22" i="13"/>
  <c r="C22" i="13"/>
  <c r="B22" i="13"/>
  <c r="A22" i="13"/>
  <c r="I21" i="13"/>
  <c r="H21" i="13"/>
  <c r="G21" i="13"/>
  <c r="F21" i="13"/>
  <c r="E21" i="13"/>
  <c r="D21" i="13"/>
  <c r="C21" i="13"/>
  <c r="B21" i="13"/>
  <c r="A21" i="13"/>
  <c r="I20" i="13"/>
  <c r="H20" i="13"/>
  <c r="G20" i="13"/>
  <c r="F20" i="13"/>
  <c r="E20" i="13"/>
  <c r="D20" i="13"/>
  <c r="C20" i="13"/>
  <c r="B20" i="13"/>
  <c r="A20" i="13"/>
  <c r="I19" i="13"/>
  <c r="H19" i="13"/>
  <c r="G19" i="13"/>
  <c r="F19" i="13"/>
  <c r="E19" i="13"/>
  <c r="D19" i="13"/>
  <c r="C19" i="13"/>
  <c r="B19" i="13"/>
  <c r="A19" i="13"/>
  <c r="I18" i="13"/>
  <c r="H18" i="13"/>
  <c r="G18" i="13"/>
  <c r="F18" i="13"/>
  <c r="E18" i="13"/>
  <c r="D18" i="13"/>
  <c r="C18" i="13"/>
  <c r="B18" i="13"/>
  <c r="A18" i="13"/>
  <c r="I17" i="13"/>
  <c r="H17" i="13"/>
  <c r="G17" i="13"/>
  <c r="F17" i="13"/>
  <c r="E17" i="13"/>
  <c r="D17" i="13"/>
  <c r="C17" i="13"/>
  <c r="B17" i="13"/>
  <c r="A17" i="13"/>
  <c r="I16" i="13"/>
  <c r="H16" i="13"/>
  <c r="G16" i="13"/>
  <c r="F16" i="13"/>
  <c r="E16" i="13"/>
  <c r="D16" i="13"/>
  <c r="C16" i="13"/>
  <c r="B16" i="13"/>
  <c r="A16" i="13"/>
  <c r="I15" i="13"/>
  <c r="H15" i="13"/>
  <c r="G15" i="13"/>
  <c r="F15" i="13"/>
  <c r="E15" i="13"/>
  <c r="D15" i="13"/>
  <c r="C15" i="13"/>
  <c r="B15" i="13"/>
  <c r="A15" i="13"/>
  <c r="I14" i="13"/>
  <c r="H14" i="13"/>
  <c r="G14" i="13"/>
  <c r="F14" i="13"/>
  <c r="E14" i="13"/>
  <c r="D14" i="13"/>
  <c r="C14" i="13"/>
  <c r="B14" i="13"/>
  <c r="A14" i="13"/>
  <c r="I13" i="13"/>
  <c r="H13" i="13"/>
  <c r="G13" i="13"/>
  <c r="F13" i="13"/>
  <c r="E13" i="13"/>
  <c r="D13" i="13"/>
  <c r="C13" i="13"/>
  <c r="B13" i="13"/>
  <c r="A13" i="13"/>
  <c r="I12" i="13"/>
  <c r="H12" i="13"/>
  <c r="G12" i="13"/>
  <c r="F12" i="13"/>
  <c r="E12" i="13"/>
  <c r="D12" i="13"/>
  <c r="C12" i="13"/>
  <c r="B12" i="13"/>
  <c r="A12" i="13"/>
  <c r="I11" i="13"/>
  <c r="H11" i="13"/>
  <c r="G11" i="13"/>
  <c r="F11" i="13"/>
  <c r="E11" i="13"/>
  <c r="D11" i="13"/>
  <c r="C11" i="13"/>
  <c r="B11" i="13"/>
  <c r="A11" i="13"/>
  <c r="I10" i="13"/>
  <c r="H10" i="13"/>
  <c r="G10" i="13"/>
  <c r="F10" i="13"/>
  <c r="E10" i="13"/>
  <c r="D10" i="13"/>
  <c r="C10" i="13"/>
  <c r="B10" i="13"/>
  <c r="A10" i="13"/>
  <c r="I9" i="13"/>
  <c r="H9" i="13"/>
  <c r="G9" i="13"/>
  <c r="F9" i="13"/>
  <c r="E9" i="13"/>
  <c r="D9" i="13"/>
  <c r="C9" i="13"/>
  <c r="B9" i="13"/>
  <c r="A9" i="13"/>
  <c r="I8" i="13"/>
  <c r="H8" i="13"/>
  <c r="G8" i="13"/>
  <c r="F8" i="13"/>
  <c r="E8" i="13"/>
  <c r="D8" i="13"/>
  <c r="C8" i="13"/>
  <c r="B8" i="13"/>
  <c r="A8" i="13"/>
  <c r="I7" i="13"/>
  <c r="H7" i="13"/>
  <c r="G7" i="13"/>
  <c r="F7" i="13"/>
  <c r="E7" i="13"/>
  <c r="D7" i="13"/>
  <c r="C7" i="13"/>
  <c r="B7" i="13"/>
  <c r="A7" i="13"/>
  <c r="I6" i="13"/>
  <c r="H6" i="13"/>
  <c r="G6" i="13"/>
  <c r="F6" i="13"/>
  <c r="E6" i="13"/>
  <c r="D6" i="13"/>
  <c r="C6" i="13"/>
  <c r="B6" i="13"/>
  <c r="A6" i="13"/>
  <c r="I5" i="13"/>
  <c r="H5" i="13"/>
  <c r="G5" i="13"/>
  <c r="F5" i="13"/>
  <c r="E5" i="13"/>
  <c r="D5" i="13"/>
  <c r="C5" i="13"/>
  <c r="B5" i="13"/>
  <c r="A5" i="13"/>
  <c r="A5" i="12"/>
  <c r="I39" i="12"/>
  <c r="H39" i="12"/>
  <c r="G39" i="12"/>
  <c r="F39" i="12"/>
  <c r="E39" i="12"/>
  <c r="D39" i="12"/>
  <c r="C39" i="12"/>
  <c r="B39" i="12"/>
  <c r="A39" i="12"/>
  <c r="I38" i="12"/>
  <c r="H38" i="12"/>
  <c r="G38" i="12"/>
  <c r="F38" i="12"/>
  <c r="E38" i="12"/>
  <c r="D38" i="12"/>
  <c r="C38" i="12"/>
  <c r="B38" i="12"/>
  <c r="A38" i="12"/>
  <c r="I37" i="12"/>
  <c r="H37" i="12"/>
  <c r="G37" i="12"/>
  <c r="F37" i="12"/>
  <c r="E37" i="12"/>
  <c r="D37" i="12"/>
  <c r="C37" i="12"/>
  <c r="B37" i="12"/>
  <c r="A37" i="12"/>
  <c r="I36" i="12"/>
  <c r="H36" i="12"/>
  <c r="G36" i="12"/>
  <c r="F36" i="12"/>
  <c r="E36" i="12"/>
  <c r="D36" i="12"/>
  <c r="C36" i="12"/>
  <c r="B36" i="12"/>
  <c r="A36" i="12"/>
  <c r="I35" i="12"/>
  <c r="H35" i="12"/>
  <c r="G35" i="12"/>
  <c r="F35" i="12"/>
  <c r="E35" i="12"/>
  <c r="D35" i="12"/>
  <c r="C35" i="12"/>
  <c r="B35" i="12"/>
  <c r="A35" i="12"/>
  <c r="I34" i="12"/>
  <c r="H34" i="12"/>
  <c r="G34" i="12"/>
  <c r="F34" i="12"/>
  <c r="E34" i="12"/>
  <c r="D34" i="12"/>
  <c r="C34" i="12"/>
  <c r="B34" i="12"/>
  <c r="A34" i="12"/>
  <c r="I33" i="12"/>
  <c r="H33" i="12"/>
  <c r="G33" i="12"/>
  <c r="F33" i="12"/>
  <c r="E33" i="12"/>
  <c r="D33" i="12"/>
  <c r="C33" i="12"/>
  <c r="B33" i="12"/>
  <c r="A33" i="12"/>
  <c r="I32" i="12"/>
  <c r="H32" i="12"/>
  <c r="G32" i="12"/>
  <c r="F32" i="12"/>
  <c r="E32" i="12"/>
  <c r="D32" i="12"/>
  <c r="C32" i="12"/>
  <c r="B32" i="12"/>
  <c r="A32" i="12"/>
  <c r="I31" i="12"/>
  <c r="H31" i="12"/>
  <c r="G31" i="12"/>
  <c r="F31" i="12"/>
  <c r="E31" i="12"/>
  <c r="D31" i="12"/>
  <c r="C31" i="12"/>
  <c r="B31" i="12"/>
  <c r="A31" i="12"/>
  <c r="I30" i="12"/>
  <c r="H30" i="12"/>
  <c r="G30" i="12"/>
  <c r="F30" i="12"/>
  <c r="E30" i="12"/>
  <c r="D30" i="12"/>
  <c r="C30" i="12"/>
  <c r="B30" i="12"/>
  <c r="A30" i="12"/>
  <c r="I29" i="12"/>
  <c r="H29" i="12"/>
  <c r="G29" i="12"/>
  <c r="F29" i="12"/>
  <c r="E29" i="12"/>
  <c r="D29" i="12"/>
  <c r="C29" i="12"/>
  <c r="B29" i="12"/>
  <c r="A29" i="12"/>
  <c r="I28" i="12"/>
  <c r="H28" i="12"/>
  <c r="G28" i="12"/>
  <c r="F28" i="12"/>
  <c r="E28" i="12"/>
  <c r="D28" i="12"/>
  <c r="C28" i="12"/>
  <c r="B28" i="12"/>
  <c r="A28" i="12"/>
  <c r="I27" i="12"/>
  <c r="H27" i="12"/>
  <c r="G27" i="12"/>
  <c r="F27" i="12"/>
  <c r="E27" i="12"/>
  <c r="D27" i="12"/>
  <c r="C27" i="12"/>
  <c r="B27" i="12"/>
  <c r="A27" i="12"/>
  <c r="I26" i="12"/>
  <c r="H26" i="12"/>
  <c r="G26" i="12"/>
  <c r="F26" i="12"/>
  <c r="E26" i="12"/>
  <c r="D26" i="12"/>
  <c r="C26" i="12"/>
  <c r="B26" i="12"/>
  <c r="A26" i="12"/>
  <c r="I25" i="12"/>
  <c r="H25" i="12"/>
  <c r="G25" i="12"/>
  <c r="F25" i="12"/>
  <c r="E25" i="12"/>
  <c r="D25" i="12"/>
  <c r="C25" i="12"/>
  <c r="B25" i="12"/>
  <c r="A25" i="12"/>
  <c r="I24" i="12"/>
  <c r="H24" i="12"/>
  <c r="G24" i="12"/>
  <c r="F24" i="12"/>
  <c r="E24" i="12"/>
  <c r="D24" i="12"/>
  <c r="C24" i="12"/>
  <c r="B24" i="12"/>
  <c r="A24" i="12"/>
  <c r="I23" i="12"/>
  <c r="H23" i="12"/>
  <c r="G23" i="12"/>
  <c r="F23" i="12"/>
  <c r="E23" i="12"/>
  <c r="D23" i="12"/>
  <c r="C23" i="12"/>
  <c r="B23" i="12"/>
  <c r="A23" i="12"/>
  <c r="I22" i="12"/>
  <c r="H22" i="12"/>
  <c r="G22" i="12"/>
  <c r="F22" i="12"/>
  <c r="E22" i="12"/>
  <c r="D22" i="12"/>
  <c r="C22" i="12"/>
  <c r="B22" i="12"/>
  <c r="A22" i="12"/>
  <c r="I21" i="12"/>
  <c r="H21" i="12"/>
  <c r="G21" i="12"/>
  <c r="F21" i="12"/>
  <c r="E21" i="12"/>
  <c r="D21" i="12"/>
  <c r="C21" i="12"/>
  <c r="B21" i="12"/>
  <c r="A21" i="12"/>
  <c r="I20" i="12"/>
  <c r="H20" i="12"/>
  <c r="G20" i="12"/>
  <c r="F20" i="12"/>
  <c r="E20" i="12"/>
  <c r="D20" i="12"/>
  <c r="C20" i="12"/>
  <c r="B20" i="12"/>
  <c r="A20" i="12"/>
  <c r="I19" i="12"/>
  <c r="H19" i="12"/>
  <c r="G19" i="12"/>
  <c r="F19" i="12"/>
  <c r="E19" i="12"/>
  <c r="D19" i="12"/>
  <c r="C19" i="12"/>
  <c r="B19" i="12"/>
  <c r="A19" i="12"/>
  <c r="I18" i="12"/>
  <c r="H18" i="12"/>
  <c r="G18" i="12"/>
  <c r="F18" i="12"/>
  <c r="E18" i="12"/>
  <c r="D18" i="12"/>
  <c r="C18" i="12"/>
  <c r="B18" i="12"/>
  <c r="A18" i="12"/>
  <c r="I17" i="12"/>
  <c r="H17" i="12"/>
  <c r="G17" i="12"/>
  <c r="F17" i="12"/>
  <c r="E17" i="12"/>
  <c r="D17" i="12"/>
  <c r="C17" i="12"/>
  <c r="B17" i="12"/>
  <c r="A17" i="12"/>
  <c r="I16" i="12"/>
  <c r="H16" i="12"/>
  <c r="G16" i="12"/>
  <c r="F16" i="12"/>
  <c r="E16" i="12"/>
  <c r="D16" i="12"/>
  <c r="C16" i="12"/>
  <c r="B16" i="12"/>
  <c r="A16" i="12"/>
  <c r="I15" i="12"/>
  <c r="H15" i="12"/>
  <c r="G15" i="12"/>
  <c r="F15" i="12"/>
  <c r="E15" i="12"/>
  <c r="D15" i="12"/>
  <c r="C15" i="12"/>
  <c r="B15" i="12"/>
  <c r="A15" i="12"/>
  <c r="I14" i="12"/>
  <c r="H14" i="12"/>
  <c r="G14" i="12"/>
  <c r="F14" i="12"/>
  <c r="E14" i="12"/>
  <c r="D14" i="12"/>
  <c r="C14" i="12"/>
  <c r="B14" i="12"/>
  <c r="A14" i="12"/>
  <c r="I13" i="12"/>
  <c r="H13" i="12"/>
  <c r="G13" i="12"/>
  <c r="F13" i="12"/>
  <c r="E13" i="12"/>
  <c r="D13" i="12"/>
  <c r="C13" i="12"/>
  <c r="B13" i="12"/>
  <c r="A13" i="12"/>
  <c r="I12" i="12"/>
  <c r="H12" i="12"/>
  <c r="G12" i="12"/>
  <c r="F12" i="12"/>
  <c r="E12" i="12"/>
  <c r="D12" i="12"/>
  <c r="C12" i="12"/>
  <c r="B12" i="12"/>
  <c r="A12" i="12"/>
  <c r="I11" i="12"/>
  <c r="H11" i="12"/>
  <c r="G11" i="12"/>
  <c r="F11" i="12"/>
  <c r="E11" i="12"/>
  <c r="D11" i="12"/>
  <c r="C11" i="12"/>
  <c r="B11" i="12"/>
  <c r="A11" i="12"/>
  <c r="I10" i="12"/>
  <c r="H10" i="12"/>
  <c r="G10" i="12"/>
  <c r="F10" i="12"/>
  <c r="E10" i="12"/>
  <c r="D10" i="12"/>
  <c r="C10" i="12"/>
  <c r="B10" i="12"/>
  <c r="A10" i="12"/>
  <c r="I9" i="12"/>
  <c r="H9" i="12"/>
  <c r="G9" i="12"/>
  <c r="F9" i="12"/>
  <c r="E9" i="12"/>
  <c r="D9" i="12"/>
  <c r="C9" i="12"/>
  <c r="B9" i="12"/>
  <c r="A9" i="12"/>
  <c r="I8" i="12"/>
  <c r="H8" i="12"/>
  <c r="G8" i="12"/>
  <c r="F8" i="12"/>
  <c r="E8" i="12"/>
  <c r="D8" i="12"/>
  <c r="C8" i="12"/>
  <c r="B8" i="12"/>
  <c r="A8" i="12"/>
  <c r="I7" i="12"/>
  <c r="H7" i="12"/>
  <c r="G7" i="12"/>
  <c r="F7" i="12"/>
  <c r="E7" i="12"/>
  <c r="D7" i="12"/>
  <c r="C7" i="12"/>
  <c r="B7" i="12"/>
  <c r="A7" i="12"/>
  <c r="I6" i="12"/>
  <c r="H6" i="12"/>
  <c r="G6" i="12"/>
  <c r="F6" i="12"/>
  <c r="E6" i="12"/>
  <c r="D6" i="12"/>
  <c r="C6" i="12"/>
  <c r="B6" i="12"/>
  <c r="A6" i="12"/>
  <c r="I5" i="12"/>
  <c r="H5" i="12"/>
  <c r="G5" i="12"/>
  <c r="F5" i="12"/>
  <c r="E5" i="12"/>
  <c r="D5" i="12"/>
  <c r="C5" i="12"/>
  <c r="B5" i="12"/>
  <c r="A5" i="6"/>
  <c r="A8" i="6"/>
  <c r="I27" i="6"/>
  <c r="H27" i="6"/>
  <c r="G27" i="6"/>
  <c r="F27" i="6"/>
  <c r="E27" i="6"/>
  <c r="D27" i="6"/>
  <c r="I26" i="6"/>
  <c r="H26" i="6"/>
  <c r="G26" i="6"/>
  <c r="F26" i="6"/>
  <c r="E26" i="6"/>
  <c r="D26" i="6"/>
  <c r="B26" i="6"/>
  <c r="A26" i="6"/>
  <c r="I25" i="6"/>
  <c r="H25" i="6"/>
  <c r="G25" i="6"/>
  <c r="F25" i="6"/>
  <c r="E25" i="6"/>
  <c r="D25" i="6"/>
  <c r="B25" i="6"/>
  <c r="A25" i="6"/>
  <c r="I24" i="6"/>
  <c r="H24" i="6"/>
  <c r="G24" i="6"/>
  <c r="F24" i="6"/>
  <c r="E24" i="6"/>
  <c r="D24" i="6"/>
  <c r="B24" i="6"/>
  <c r="A24" i="6"/>
  <c r="I23" i="6"/>
  <c r="H23" i="6"/>
  <c r="G23" i="6"/>
  <c r="F23" i="6"/>
  <c r="E23" i="6"/>
  <c r="D23" i="6"/>
  <c r="B23" i="6"/>
  <c r="A23" i="6"/>
  <c r="I22" i="6"/>
  <c r="H22" i="6"/>
  <c r="G22" i="6"/>
  <c r="F22" i="6"/>
  <c r="E22" i="6"/>
  <c r="D22" i="6"/>
  <c r="B22" i="6"/>
  <c r="A22" i="6"/>
  <c r="I21" i="6"/>
  <c r="H21" i="6"/>
  <c r="G21" i="6"/>
  <c r="F21" i="6"/>
  <c r="E21" i="6"/>
  <c r="D21" i="6"/>
  <c r="B21" i="6"/>
  <c r="A21" i="6"/>
  <c r="I20" i="6"/>
  <c r="E20" i="6"/>
  <c r="D20" i="6"/>
  <c r="B20" i="6"/>
  <c r="A20" i="6"/>
  <c r="I19" i="6"/>
  <c r="H19" i="6"/>
  <c r="G19" i="6"/>
  <c r="F19" i="6"/>
  <c r="E19" i="6"/>
  <c r="D19" i="6"/>
  <c r="B19" i="6"/>
  <c r="A19" i="6"/>
  <c r="I18" i="6"/>
  <c r="H18" i="6"/>
  <c r="G18" i="6"/>
  <c r="F18" i="6"/>
  <c r="E18" i="6"/>
  <c r="D18" i="6"/>
  <c r="B18" i="6"/>
  <c r="A18" i="6"/>
  <c r="I17" i="6"/>
  <c r="H17" i="6"/>
  <c r="G17" i="6"/>
  <c r="F17" i="6"/>
  <c r="E17" i="6"/>
  <c r="D17" i="6"/>
  <c r="B17" i="6"/>
  <c r="A17" i="6"/>
  <c r="I16" i="6"/>
  <c r="H16" i="6"/>
  <c r="G16" i="6"/>
  <c r="F16" i="6"/>
  <c r="E16" i="6"/>
  <c r="D16" i="6"/>
  <c r="B16" i="6"/>
  <c r="A16" i="6"/>
  <c r="I15" i="6"/>
  <c r="H15" i="6"/>
  <c r="G15" i="6"/>
  <c r="F15" i="6"/>
  <c r="E15" i="6"/>
  <c r="D15" i="6"/>
  <c r="B15" i="6"/>
  <c r="A15" i="6"/>
  <c r="I14" i="6"/>
  <c r="H14" i="6"/>
  <c r="G14" i="6"/>
  <c r="F14" i="6"/>
  <c r="E14" i="6"/>
  <c r="D14" i="6"/>
  <c r="B14" i="6"/>
  <c r="A14" i="6"/>
  <c r="I13" i="6"/>
  <c r="H13" i="6"/>
  <c r="G13" i="6"/>
  <c r="F13" i="6"/>
  <c r="E13" i="6"/>
  <c r="B13" i="6"/>
  <c r="A13" i="6"/>
  <c r="I12" i="6"/>
  <c r="H12" i="6"/>
  <c r="G12" i="6"/>
  <c r="F12" i="6"/>
  <c r="E12" i="6"/>
  <c r="D12" i="6"/>
  <c r="B12" i="6"/>
  <c r="A12" i="6"/>
  <c r="I11" i="6"/>
  <c r="H11" i="6"/>
  <c r="G11" i="6"/>
  <c r="F11" i="6"/>
  <c r="E11" i="6"/>
  <c r="D11" i="6"/>
  <c r="B11" i="6"/>
  <c r="A11" i="6"/>
  <c r="I10" i="6"/>
  <c r="H10" i="6"/>
  <c r="G10" i="6"/>
  <c r="F10" i="6"/>
  <c r="E10" i="6"/>
  <c r="D10" i="6"/>
  <c r="B10" i="6"/>
  <c r="A10" i="6"/>
  <c r="H9" i="6"/>
  <c r="G9" i="6"/>
  <c r="F9" i="6"/>
  <c r="E9" i="6"/>
  <c r="D9" i="6"/>
  <c r="B9" i="6"/>
  <c r="A9" i="6"/>
  <c r="I8" i="6"/>
  <c r="H8" i="6"/>
  <c r="G8" i="6"/>
  <c r="F8" i="6"/>
  <c r="E8" i="6"/>
  <c r="D8" i="6"/>
  <c r="B8" i="6"/>
  <c r="I7" i="6"/>
  <c r="H7" i="6"/>
  <c r="G7" i="6"/>
  <c r="F7" i="6"/>
  <c r="E7" i="6"/>
  <c r="D7" i="6"/>
  <c r="B7" i="6"/>
  <c r="A7" i="6"/>
  <c r="I6" i="6"/>
  <c r="H6" i="6"/>
  <c r="G6" i="6"/>
  <c r="F6" i="6"/>
  <c r="E6" i="6"/>
  <c r="D6" i="6"/>
  <c r="C6" i="6"/>
  <c r="B6" i="6"/>
  <c r="A6" i="6"/>
  <c r="I5" i="6"/>
  <c r="H5" i="6"/>
  <c r="G5" i="6"/>
  <c r="F5" i="6"/>
  <c r="E5" i="6"/>
  <c r="D5" i="6"/>
  <c r="C5" i="6"/>
  <c r="B5" i="6"/>
  <c r="I37" i="4"/>
  <c r="H37" i="4"/>
  <c r="G37" i="4"/>
  <c r="F37" i="4"/>
  <c r="E37" i="4"/>
  <c r="D37" i="4"/>
  <c r="C37" i="4"/>
  <c r="B37" i="4"/>
  <c r="A37" i="4"/>
  <c r="I36" i="4"/>
  <c r="H36" i="4"/>
  <c r="G36" i="4"/>
  <c r="F36" i="4"/>
  <c r="E36" i="4"/>
  <c r="D36" i="4"/>
  <c r="C36" i="4"/>
  <c r="B36" i="4"/>
  <c r="A36" i="4"/>
  <c r="I35" i="4"/>
  <c r="H35" i="4"/>
  <c r="G35" i="4"/>
  <c r="F35" i="4"/>
  <c r="E35" i="4"/>
  <c r="D35" i="4"/>
  <c r="C35" i="4"/>
  <c r="B35" i="4"/>
  <c r="A35" i="4"/>
  <c r="I34" i="4"/>
  <c r="H34" i="4"/>
  <c r="G34" i="4"/>
  <c r="F34" i="4"/>
  <c r="E34" i="4"/>
  <c r="D34" i="4"/>
  <c r="C34" i="4"/>
  <c r="B34" i="4"/>
  <c r="A34" i="4"/>
  <c r="I33" i="4"/>
  <c r="H33" i="4"/>
  <c r="G33" i="4"/>
  <c r="F33" i="4"/>
  <c r="E33" i="4"/>
  <c r="D33" i="4"/>
  <c r="C33" i="4"/>
  <c r="B33" i="4"/>
  <c r="A33" i="4"/>
  <c r="I32" i="4"/>
  <c r="H32" i="4"/>
  <c r="G32" i="4"/>
  <c r="F32" i="4"/>
  <c r="E32" i="4"/>
  <c r="D32" i="4"/>
  <c r="C32" i="4"/>
  <c r="B32" i="4"/>
  <c r="A32" i="4"/>
  <c r="I31" i="4"/>
  <c r="H31" i="4"/>
  <c r="G31" i="4"/>
  <c r="F31" i="4"/>
  <c r="E31" i="4"/>
  <c r="D31" i="4"/>
  <c r="C31" i="4"/>
  <c r="B31" i="4"/>
  <c r="A31" i="4"/>
  <c r="I30" i="4"/>
  <c r="H30" i="4"/>
  <c r="G30" i="4"/>
  <c r="F30" i="4"/>
  <c r="E30" i="4"/>
  <c r="D30" i="4"/>
  <c r="C30" i="4"/>
  <c r="B30" i="4"/>
  <c r="A30" i="4"/>
  <c r="I29" i="4"/>
  <c r="H29" i="4"/>
  <c r="G29" i="4"/>
  <c r="F29" i="4"/>
  <c r="E29" i="4"/>
  <c r="D29" i="4"/>
  <c r="C29" i="4"/>
  <c r="B29" i="4"/>
  <c r="A29" i="4"/>
  <c r="I28" i="4"/>
  <c r="H28" i="4"/>
  <c r="G28" i="4"/>
  <c r="F28" i="4"/>
  <c r="E28" i="4"/>
  <c r="D28" i="4"/>
  <c r="C28" i="4"/>
  <c r="B28" i="4"/>
  <c r="A28" i="4"/>
  <c r="I27" i="4"/>
  <c r="H27" i="4"/>
  <c r="G27" i="4"/>
  <c r="F27" i="4"/>
  <c r="E27" i="4"/>
  <c r="D27" i="4"/>
  <c r="C27" i="4"/>
  <c r="B27" i="4"/>
  <c r="A27" i="4"/>
  <c r="I26" i="4"/>
  <c r="H26" i="4"/>
  <c r="G26" i="4"/>
  <c r="F26" i="4"/>
  <c r="E26" i="4"/>
  <c r="D26" i="4"/>
  <c r="C26" i="4"/>
  <c r="B26" i="4"/>
  <c r="A26" i="4"/>
  <c r="I25" i="4"/>
  <c r="H25" i="4"/>
  <c r="G25" i="4"/>
  <c r="F25" i="4"/>
  <c r="E25" i="4"/>
  <c r="D25" i="4"/>
  <c r="C25" i="4"/>
  <c r="B25" i="4"/>
  <c r="A25" i="4"/>
  <c r="I24" i="4"/>
  <c r="H24" i="4"/>
  <c r="G24" i="4"/>
  <c r="F24" i="4"/>
  <c r="E24" i="4"/>
  <c r="D24" i="4"/>
  <c r="C24" i="4"/>
  <c r="B24" i="4"/>
  <c r="A24" i="4"/>
  <c r="I23" i="4"/>
  <c r="H23" i="4"/>
  <c r="G23" i="4"/>
  <c r="F23" i="4"/>
  <c r="E23" i="4"/>
  <c r="D23" i="4"/>
  <c r="C23" i="4"/>
  <c r="B23" i="4"/>
  <c r="A23" i="4"/>
  <c r="I22" i="4"/>
  <c r="H22" i="4"/>
  <c r="G22" i="4"/>
  <c r="F22" i="4"/>
  <c r="E22" i="4"/>
  <c r="D22" i="4"/>
  <c r="C22" i="4"/>
  <c r="B22" i="4"/>
  <c r="A22" i="4"/>
  <c r="I21" i="4"/>
  <c r="H21" i="4"/>
  <c r="G21" i="4"/>
  <c r="F21" i="4"/>
  <c r="E21" i="4"/>
  <c r="D21" i="4"/>
  <c r="C21" i="4"/>
  <c r="B21" i="4"/>
  <c r="A21" i="4"/>
  <c r="I20" i="4"/>
  <c r="H20" i="4"/>
  <c r="G20" i="4"/>
  <c r="F20" i="4"/>
  <c r="E20" i="4"/>
  <c r="D20" i="4"/>
  <c r="C20" i="4"/>
  <c r="B20" i="4"/>
  <c r="A20" i="4"/>
  <c r="I19" i="4"/>
  <c r="H19" i="4"/>
  <c r="G19" i="4"/>
  <c r="F19" i="4"/>
  <c r="E19" i="4"/>
  <c r="D19" i="4"/>
  <c r="C19" i="4"/>
  <c r="B19" i="4"/>
  <c r="A19" i="4"/>
  <c r="I18" i="4"/>
  <c r="H18" i="4"/>
  <c r="G18" i="4"/>
  <c r="F18" i="4"/>
  <c r="E18" i="4"/>
  <c r="D18" i="4"/>
  <c r="C18" i="4"/>
  <c r="B18" i="4"/>
  <c r="A18" i="4"/>
  <c r="I17" i="4"/>
  <c r="H17" i="4"/>
  <c r="G17" i="4"/>
  <c r="F17" i="4"/>
  <c r="E17" i="4"/>
  <c r="D17" i="4"/>
  <c r="C17" i="4"/>
  <c r="B17" i="4"/>
  <c r="A17" i="4"/>
  <c r="I16" i="4"/>
  <c r="H16" i="4"/>
  <c r="G16" i="4"/>
  <c r="F16" i="4"/>
  <c r="E16" i="4"/>
  <c r="D16" i="4"/>
  <c r="C16" i="4"/>
  <c r="B16" i="4"/>
  <c r="A16" i="4"/>
  <c r="I15" i="4"/>
  <c r="H15" i="4"/>
  <c r="G15" i="4"/>
  <c r="F15" i="4"/>
  <c r="E15" i="4"/>
  <c r="D15" i="4"/>
  <c r="C15" i="4"/>
  <c r="B15" i="4"/>
  <c r="A15" i="4"/>
  <c r="I14" i="4"/>
  <c r="H14" i="4"/>
  <c r="G14" i="4"/>
  <c r="F14" i="4"/>
  <c r="E14" i="4"/>
  <c r="D14" i="4"/>
  <c r="C14" i="4"/>
  <c r="B14" i="4"/>
  <c r="A14" i="4"/>
  <c r="I13" i="4"/>
  <c r="H13" i="4"/>
  <c r="G13" i="4"/>
  <c r="F13" i="4"/>
  <c r="E13" i="4"/>
  <c r="D13" i="4"/>
  <c r="C13" i="4"/>
  <c r="B13" i="4"/>
  <c r="A13" i="4"/>
  <c r="I12" i="4"/>
  <c r="H12" i="4"/>
  <c r="G12" i="4"/>
  <c r="F12" i="4"/>
  <c r="E12" i="4"/>
  <c r="D12" i="4"/>
  <c r="C12" i="4"/>
  <c r="B12" i="4"/>
  <c r="A12" i="4"/>
  <c r="I11" i="4"/>
  <c r="H11" i="4"/>
  <c r="G11" i="4"/>
  <c r="F11" i="4"/>
  <c r="E11" i="4"/>
  <c r="D11" i="4"/>
  <c r="C11" i="4"/>
  <c r="B11" i="4"/>
  <c r="A11" i="4"/>
  <c r="I10" i="4"/>
  <c r="H10" i="4"/>
  <c r="G10" i="4"/>
  <c r="F10" i="4"/>
  <c r="E10" i="4"/>
  <c r="D10" i="4"/>
  <c r="C10" i="4"/>
  <c r="B10" i="4"/>
  <c r="A10" i="4"/>
  <c r="I9" i="4"/>
  <c r="H9" i="4"/>
  <c r="G9" i="4"/>
  <c r="F9" i="4"/>
  <c r="E9" i="4"/>
  <c r="D9" i="4"/>
  <c r="C9" i="4"/>
  <c r="B9" i="4"/>
  <c r="A9" i="4"/>
  <c r="I8" i="4"/>
  <c r="H8" i="4"/>
  <c r="G8" i="4"/>
  <c r="F8" i="4"/>
  <c r="E8" i="4"/>
  <c r="D8" i="4"/>
  <c r="C8" i="4"/>
  <c r="B8" i="4"/>
  <c r="A8" i="4"/>
  <c r="I7" i="4"/>
  <c r="H7" i="4"/>
  <c r="G7" i="4"/>
  <c r="F7" i="4"/>
  <c r="E7" i="4"/>
  <c r="D7" i="4"/>
  <c r="C7" i="4"/>
  <c r="B7" i="4"/>
  <c r="A7" i="4"/>
  <c r="I6" i="4"/>
  <c r="H6" i="4"/>
  <c r="G6" i="4"/>
  <c r="F6" i="4"/>
  <c r="E6" i="4"/>
  <c r="D6" i="4"/>
  <c r="C6" i="4"/>
  <c r="B6" i="4"/>
  <c r="A6" i="4"/>
  <c r="I5" i="4"/>
  <c r="H5" i="4"/>
  <c r="G5" i="4"/>
  <c r="F5" i="4"/>
  <c r="E5" i="4"/>
  <c r="D5" i="4"/>
  <c r="C5" i="4"/>
  <c r="B5" i="4"/>
  <c r="A5" i="4"/>
  <c r="A5" i="10"/>
  <c r="I31" i="10"/>
  <c r="H31" i="10"/>
  <c r="G31" i="10"/>
  <c r="F31" i="10"/>
  <c r="E31" i="10"/>
  <c r="D31" i="10"/>
  <c r="C31" i="10"/>
  <c r="B31" i="10"/>
  <c r="A31" i="10"/>
  <c r="I30" i="10"/>
  <c r="H30" i="10"/>
  <c r="G30" i="10"/>
  <c r="F30" i="10"/>
  <c r="E30" i="10"/>
  <c r="D30" i="10"/>
  <c r="C30" i="10"/>
  <c r="B30" i="10"/>
  <c r="A30" i="10"/>
  <c r="I29" i="10"/>
  <c r="H29" i="10"/>
  <c r="G29" i="10"/>
  <c r="F29" i="10"/>
  <c r="E29" i="10"/>
  <c r="D29" i="10"/>
  <c r="C29" i="10"/>
  <c r="B29" i="10"/>
  <c r="A29" i="10"/>
  <c r="I28" i="10"/>
  <c r="H28" i="10"/>
  <c r="G28" i="10"/>
  <c r="F28" i="10"/>
  <c r="E28" i="10"/>
  <c r="D28" i="10"/>
  <c r="C28" i="10"/>
  <c r="B28" i="10"/>
  <c r="A28" i="10"/>
  <c r="I27" i="10"/>
  <c r="H27" i="10"/>
  <c r="G27" i="10"/>
  <c r="F27" i="10"/>
  <c r="E27" i="10"/>
  <c r="D27" i="10"/>
  <c r="C27" i="10"/>
  <c r="B27" i="10"/>
  <c r="A27" i="10"/>
  <c r="I26" i="10"/>
  <c r="H26" i="10"/>
  <c r="G26" i="10"/>
  <c r="F26" i="10"/>
  <c r="E26" i="10"/>
  <c r="D26" i="10"/>
  <c r="C26" i="10"/>
  <c r="B26" i="10"/>
  <c r="A26" i="10"/>
  <c r="I25" i="10"/>
  <c r="H25" i="10"/>
  <c r="G25" i="10"/>
  <c r="F25" i="10"/>
  <c r="E25" i="10"/>
  <c r="D25" i="10"/>
  <c r="C25" i="10"/>
  <c r="B25" i="10"/>
  <c r="A25" i="10"/>
  <c r="I24" i="10"/>
  <c r="H24" i="10"/>
  <c r="G24" i="10"/>
  <c r="F24" i="10"/>
  <c r="E24" i="10"/>
  <c r="D24" i="10"/>
  <c r="C24" i="10"/>
  <c r="B24" i="10"/>
  <c r="A24" i="10"/>
  <c r="I23" i="10"/>
  <c r="H23" i="10"/>
  <c r="G23" i="10"/>
  <c r="F23" i="10"/>
  <c r="E23" i="10"/>
  <c r="D23" i="10"/>
  <c r="C23" i="10"/>
  <c r="B23" i="10"/>
  <c r="A23" i="10"/>
  <c r="I22" i="10"/>
  <c r="H22" i="10"/>
  <c r="G22" i="10"/>
  <c r="F22" i="10"/>
  <c r="E22" i="10"/>
  <c r="D22" i="10"/>
  <c r="C22" i="10"/>
  <c r="B22" i="10"/>
  <c r="A22" i="10"/>
  <c r="I21" i="10"/>
  <c r="H21" i="10"/>
  <c r="G21" i="10"/>
  <c r="F21" i="10"/>
  <c r="E21" i="10"/>
  <c r="D21" i="10"/>
  <c r="C21" i="10"/>
  <c r="B21" i="10"/>
  <c r="A21" i="10"/>
  <c r="I20" i="10"/>
  <c r="H20" i="10"/>
  <c r="G20" i="10"/>
  <c r="F20" i="10"/>
  <c r="E20" i="10"/>
  <c r="D20" i="10"/>
  <c r="C20" i="10"/>
  <c r="B20" i="10"/>
  <c r="A20" i="10"/>
  <c r="I19" i="10"/>
  <c r="H19" i="10"/>
  <c r="G19" i="10"/>
  <c r="F19" i="10"/>
  <c r="E19" i="10"/>
  <c r="D19" i="10"/>
  <c r="C19" i="10"/>
  <c r="B19" i="10"/>
  <c r="A19" i="10"/>
  <c r="I18" i="10"/>
  <c r="H18" i="10"/>
  <c r="G18" i="10"/>
  <c r="F18" i="10"/>
  <c r="E18" i="10"/>
  <c r="D18" i="10"/>
  <c r="C18" i="10"/>
  <c r="B18" i="10"/>
  <c r="A18" i="10"/>
  <c r="I17" i="10"/>
  <c r="H17" i="10"/>
  <c r="G17" i="10"/>
  <c r="F17" i="10"/>
  <c r="E17" i="10"/>
  <c r="D17" i="10"/>
  <c r="C17" i="10"/>
  <c r="B17" i="10"/>
  <c r="A17" i="10"/>
  <c r="I16" i="10"/>
  <c r="H16" i="10"/>
  <c r="G16" i="10"/>
  <c r="F16" i="10"/>
  <c r="E16" i="10"/>
  <c r="D16" i="10"/>
  <c r="C16" i="10"/>
  <c r="B16" i="10"/>
  <c r="A16" i="10"/>
  <c r="I15" i="10"/>
  <c r="H15" i="10"/>
  <c r="G15" i="10"/>
  <c r="F15" i="10"/>
  <c r="E15" i="10"/>
  <c r="D15" i="10"/>
  <c r="C15" i="10"/>
  <c r="B15" i="10"/>
  <c r="A15" i="10"/>
  <c r="I14" i="10"/>
  <c r="H14" i="10"/>
  <c r="G14" i="10"/>
  <c r="F14" i="10"/>
  <c r="E14" i="10"/>
  <c r="D14" i="10"/>
  <c r="C14" i="10"/>
  <c r="B14" i="10"/>
  <c r="A14" i="10"/>
  <c r="I13" i="10"/>
  <c r="H13" i="10"/>
  <c r="G13" i="10"/>
  <c r="F13" i="10"/>
  <c r="E13" i="10"/>
  <c r="D13" i="10"/>
  <c r="C13" i="10"/>
  <c r="B13" i="10"/>
  <c r="A13" i="10"/>
  <c r="I12" i="10"/>
  <c r="H12" i="10"/>
  <c r="G12" i="10"/>
  <c r="F12" i="10"/>
  <c r="E12" i="10"/>
  <c r="D12" i="10"/>
  <c r="C12" i="10"/>
  <c r="B12" i="10"/>
  <c r="A12" i="10"/>
  <c r="I11" i="10"/>
  <c r="H11" i="10"/>
  <c r="G11" i="10"/>
  <c r="F11" i="10"/>
  <c r="E11" i="10"/>
  <c r="D11" i="10"/>
  <c r="C11" i="10"/>
  <c r="B11" i="10"/>
  <c r="A11" i="10"/>
  <c r="I10" i="10"/>
  <c r="H10" i="10"/>
  <c r="G10" i="10"/>
  <c r="F10" i="10"/>
  <c r="E10" i="10"/>
  <c r="D10" i="10"/>
  <c r="C10" i="10"/>
  <c r="B10" i="10"/>
  <c r="A10" i="10"/>
  <c r="I9" i="10"/>
  <c r="H9" i="10"/>
  <c r="G9" i="10"/>
  <c r="F9" i="10"/>
  <c r="E9" i="10"/>
  <c r="D9" i="10"/>
  <c r="C9" i="10"/>
  <c r="B9" i="10"/>
  <c r="A9" i="10"/>
  <c r="I8" i="10"/>
  <c r="H8" i="10"/>
  <c r="G8" i="10"/>
  <c r="F8" i="10"/>
  <c r="E8" i="10"/>
  <c r="D8" i="10"/>
  <c r="C8" i="10"/>
  <c r="B8" i="10"/>
  <c r="A8" i="10"/>
  <c r="I7" i="10"/>
  <c r="H7" i="10"/>
  <c r="G7" i="10"/>
  <c r="F7" i="10"/>
  <c r="E7" i="10"/>
  <c r="D7" i="10"/>
  <c r="C7" i="10"/>
  <c r="B7" i="10"/>
  <c r="A7" i="10"/>
  <c r="I6" i="10"/>
  <c r="H6" i="10"/>
  <c r="G6" i="10"/>
  <c r="F6" i="10"/>
  <c r="E6" i="10"/>
  <c r="D6" i="10"/>
  <c r="C6" i="10"/>
  <c r="B6" i="10"/>
  <c r="A6" i="10"/>
  <c r="I5" i="10"/>
  <c r="H5" i="10"/>
  <c r="G5" i="10"/>
  <c r="F5" i="10"/>
  <c r="E5" i="10"/>
  <c r="D5" i="10"/>
  <c r="C5" i="10"/>
  <c r="B5" i="10"/>
  <c r="C46" i="10"/>
  <c r="B43" i="10"/>
  <c r="C42" i="10"/>
  <c r="C43" i="10" s="1"/>
  <c r="B42" i="10"/>
  <c r="G51" i="9"/>
  <c r="G50" i="9"/>
  <c r="G49" i="9"/>
  <c r="G48" i="9"/>
  <c r="G47" i="9"/>
  <c r="G46" i="9"/>
  <c r="G45" i="9"/>
  <c r="G44" i="9"/>
  <c r="G43" i="9"/>
  <c r="G42" i="9"/>
  <c r="G41" i="9"/>
  <c r="G40" i="9"/>
  <c r="G39" i="9"/>
  <c r="G38" i="9"/>
  <c r="G37" i="9"/>
  <c r="G36" i="9"/>
  <c r="G35" i="9"/>
  <c r="G34" i="9"/>
  <c r="G33" i="9"/>
  <c r="G32" i="9"/>
  <c r="G31" i="9"/>
  <c r="G30" i="9"/>
  <c r="G29" i="9"/>
  <c r="G28" i="9"/>
  <c r="G27" i="9"/>
  <c r="G26" i="9"/>
  <c r="G25" i="9"/>
  <c r="G24" i="9"/>
  <c r="G23" i="9"/>
  <c r="G17" i="9"/>
  <c r="G16" i="9"/>
  <c r="G15" i="9"/>
  <c r="G14" i="9"/>
  <c r="G13" i="9"/>
  <c r="G12" i="9"/>
  <c r="G6" i="9"/>
  <c r="G5" i="9"/>
  <c r="G4" i="9"/>
  <c r="G3" i="9"/>
  <c r="G2" i="9"/>
  <c r="C56" i="4"/>
  <c r="C57" i="4" s="1"/>
  <c r="C58" i="4" s="1"/>
  <c r="C59" i="4" s="1"/>
  <c r="C60" i="4" s="1"/>
  <c r="C61" i="4" s="1"/>
  <c r="C62" i="4" s="1"/>
  <c r="C63" i="4" s="1"/>
  <c r="C64" i="4" s="1"/>
  <c r="B45" i="4"/>
  <c r="B48" i="4" s="1"/>
  <c r="B51" i="4" s="1"/>
  <c r="B44" i="4"/>
  <c r="B47" i="4" s="1"/>
  <c r="B50" i="4" s="1"/>
  <c r="C43" i="4"/>
  <c r="C44" i="4" s="1"/>
  <c r="C45" i="4" s="1"/>
  <c r="C46" i="4" s="1"/>
  <c r="C47" i="4" s="1"/>
  <c r="C48" i="4" s="1"/>
  <c r="B43" i="4"/>
  <c r="B46" i="4" s="1"/>
  <c r="B49" i="4" s="1"/>
  <c r="C23" i="3"/>
  <c r="C24" i="3" s="1"/>
  <c r="C25" i="3" s="1"/>
  <c r="C26" i="3" s="1"/>
  <c r="C27" i="3" s="1"/>
  <c r="C28" i="3" s="1"/>
  <c r="C29" i="3" s="1"/>
  <c r="B12" i="3"/>
  <c r="B15" i="3" s="1"/>
  <c r="B18" i="3" s="1"/>
  <c r="B11" i="3"/>
  <c r="B14" i="3" s="1"/>
  <c r="B17" i="3" s="1"/>
  <c r="C10" i="3"/>
  <c r="C11" i="3" s="1"/>
  <c r="C12" i="3" s="1"/>
  <c r="C13" i="3" s="1"/>
  <c r="C14" i="3" s="1"/>
  <c r="C15" i="3" s="1"/>
  <c r="B10" i="3"/>
  <c r="B13" i="3" s="1"/>
  <c r="B16" i="3" s="1"/>
  <c r="C77" i="16" l="1"/>
  <c r="C78" i="16" s="1"/>
  <c r="C79" i="16" s="1"/>
  <c r="C80" i="16" s="1"/>
  <c r="C81" i="16" s="1"/>
  <c r="C82" i="16" s="1"/>
  <c r="C83" i="16" s="1"/>
  <c r="C84" i="16" s="1"/>
  <c r="C85" i="16" s="1"/>
  <c r="C86" i="16" s="1"/>
  <c r="C87" i="16" s="1"/>
  <c r="C88" i="16" s="1"/>
  <c r="C89" i="16" s="1"/>
  <c r="C90" i="16" s="1"/>
  <c r="C91" i="16" s="1"/>
  <c r="C92" i="16" s="1"/>
  <c r="C93" i="16" s="1"/>
  <c r="C94" i="16" s="1"/>
  <c r="C95" i="16" s="1"/>
  <c r="C96" i="16" s="1"/>
  <c r="C97" i="16" s="1"/>
  <c r="C98" i="16" s="1"/>
  <c r="C99" i="16" s="1"/>
  <c r="C100" i="16" s="1"/>
  <c r="C101" i="16" s="1"/>
  <c r="C102" i="16" s="1"/>
  <c r="C103" i="16" s="1"/>
  <c r="C104" i="16" s="1"/>
  <c r="C105" i="16" s="1"/>
  <c r="C106" i="16" s="1"/>
  <c r="C107" i="16" s="1"/>
  <c r="C108" i="16" s="1"/>
  <c r="C109" i="16" s="1"/>
  <c r="C110" i="16" s="1"/>
  <c r="C111" i="16" s="1"/>
  <c r="C112" i="16" s="1"/>
  <c r="C113" i="16" s="1"/>
  <c r="C114" i="16" s="1"/>
  <c r="C115" i="16" s="1"/>
  <c r="C116" i="16" s="1"/>
  <c r="C117" i="16" s="1"/>
  <c r="C118" i="16" s="1"/>
  <c r="C119" i="16" s="1"/>
  <c r="C120" i="16" s="1"/>
  <c r="C121" i="16" s="1"/>
  <c r="C122" i="16" s="1"/>
  <c r="C123" i="16" s="1"/>
  <c r="C124" i="16" s="1"/>
  <c r="C125" i="16" s="1"/>
</calcChain>
</file>

<file path=xl/sharedStrings.xml><?xml version="1.0" encoding="utf-8"?>
<sst xmlns="http://schemas.openxmlformats.org/spreadsheetml/2006/main" count="2968" uniqueCount="937">
  <si>
    <t>NOME COMANDO</t>
  </si>
  <si>
    <t>CODICE CMD H (hex)</t>
  </si>
  <si>
    <t>CODICE CMD L (hex)</t>
  </si>
  <si>
    <t>DATI AGGIUNTIVI</t>
  </si>
  <si>
    <t>Versione protocollo</t>
  </si>
  <si>
    <t xml:space="preserve">Versione protocollo risposta </t>
  </si>
  <si>
    <t>VersioneH</t>
  </si>
  <si>
    <t>VersioneL</t>
  </si>
  <si>
    <t>Leggi variabile logica</t>
  </si>
  <si>
    <t>IndirizzoH</t>
  </si>
  <si>
    <t>IndirizzoL</t>
  </si>
  <si>
    <t>Leggi variabile logica risposta</t>
  </si>
  <si>
    <t>Valori di dimensione come da dizionario dati</t>
  </si>
  <si>
    <t>Scrivi variabile logica</t>
  </si>
  <si>
    <t>Scrivi variabile logica risposta</t>
  </si>
  <si>
    <t>Leggi range di variabili</t>
  </si>
  <si>
    <t>IndirizzoInizialeH</t>
  </si>
  <si>
    <t>IndirizzoInizialeL</t>
  </si>
  <si>
    <t>NumeroVariabiliH</t>
  </si>
  <si>
    <t>NumeroVariabiliL</t>
  </si>
  <si>
    <t>Leggi range di variabili risposta</t>
  </si>
  <si>
    <t>Valori di dimensione come da NumeroVariabiliHL</t>
  </si>
  <si>
    <t>Scrivi area di memoria fisica</t>
  </si>
  <si>
    <t>DimensioneArrayH</t>
  </si>
  <si>
    <t>DimensioneArrayL</t>
  </si>
  <si>
    <t>Valori di dimensione come da DimensioneArrayHL</t>
  </si>
  <si>
    <t>Scrivi area di memoria fisica risposta</t>
  </si>
  <si>
    <t>Bootloader avvio procedura</t>
  </si>
  <si>
    <t>Bootloader avvio procedura risposta</t>
  </si>
  <si>
    <t>Risultato
(0 = ok, != 0 codice errore)</t>
  </si>
  <si>
    <t>Bootloader fine procedura</t>
  </si>
  <si>
    <t>Bootloader fine procedura risposta</t>
  </si>
  <si>
    <t>Bootloader update pagina di memoria</t>
  </si>
  <si>
    <t>FwTypeH</t>
  </si>
  <si>
    <t>FwTypeL</t>
  </si>
  <si>
    <t>NumeroPaginaHH</t>
  </si>
  <si>
    <t>NumeroPaginaHL</t>
  </si>
  <si>
    <t>NumeroPaginaLH</t>
  </si>
  <si>
    <t>NumeroPaginaLL</t>
  </si>
  <si>
    <t>DimensionePaginaHH</t>
  </si>
  <si>
    <t>DimensionePaginaHL</t>
  </si>
  <si>
    <t>DimensionePaginaLH</t>
  </si>
  <si>
    <t>DimensionePaginaLL</t>
  </si>
  <si>
    <t>ReservedHH</t>
  </si>
  <si>
    <t>ReservedHL</t>
  </si>
  <si>
    <t>ReservedLH</t>
  </si>
  <si>
    <t>ReservedLL</t>
  </si>
  <si>
    <t>Valori di dimensione come da DimensionePaginaHL</t>
  </si>
  <si>
    <t>Bootloader update pagina di memoria risposta</t>
  </si>
  <si>
    <t>Risultato (0=ok, !=0 codice errore)</t>
  </si>
  <si>
    <t>Avvia macchina</t>
  </si>
  <si>
    <t>Avvia macchina risposta</t>
  </si>
  <si>
    <t>Ferma macchina</t>
  </si>
  <si>
    <t>Ferma macchina risposta</t>
  </si>
  <si>
    <t>Riavvio dispositivo</t>
  </si>
  <si>
    <t>A</t>
  </si>
  <si>
    <t>Riavvio dispositivo risposta</t>
  </si>
  <si>
    <t>B</t>
  </si>
  <si>
    <t>C</t>
  </si>
  <si>
    <t>Up da telecomando</t>
  </si>
  <si>
    <t>D</t>
  </si>
  <si>
    <t>Stato
(0 = rilasciato, 1 = premuto)</t>
  </si>
  <si>
    <t>BatteryVolts</t>
  </si>
  <si>
    <t>Down da telecomando</t>
  </si>
  <si>
    <t>E</t>
  </si>
  <si>
    <t>Inizio Apprendimento</t>
  </si>
  <si>
    <t>F</t>
  </si>
  <si>
    <t>Inizio Apprendimento Risposta</t>
  </si>
  <si>
    <t>Salva Posizione</t>
  </si>
  <si>
    <t>Fermati?
(0 = no, 1 = si)</t>
  </si>
  <si>
    <t>Salva Posizione Risposta</t>
  </si>
  <si>
    <t>Fine Apprendimento</t>
  </si>
  <si>
    <t>Fine Apprendimento Risposta</t>
  </si>
  <si>
    <t>Comanda Piano</t>
  </si>
  <si>
    <t>Muovi
(0 = no, 1 = si)</t>
  </si>
  <si>
    <t>AngoloHH</t>
  </si>
  <si>
    <t>AngoloH</t>
  </si>
  <si>
    <t>AngoloLH</t>
  </si>
  <si>
    <t>AngoloLL</t>
  </si>
  <si>
    <t>Comanda Piano Risposta</t>
  </si>
  <si>
    <t xml:space="preserve">NOME </t>
  </si>
  <si>
    <t>INDIRIZZO H (hex)</t>
  </si>
  <si>
    <t>INDIRIZZO L (hex)</t>
  </si>
  <si>
    <t>TIPO</t>
  </si>
  <si>
    <t>FORMATO</t>
  </si>
  <si>
    <t>MINIMO</t>
  </si>
  <si>
    <t>MASSIMO</t>
  </si>
  <si>
    <t>UNITA' DI MISURA</t>
  </si>
  <si>
    <t>R/W</t>
  </si>
  <si>
    <t>DATI STANDARD</t>
  </si>
  <si>
    <t>SHERPA SLIM</t>
  </si>
  <si>
    <t>OPTIMUS</t>
  </si>
  <si>
    <t>Firmware macchina</t>
  </si>
  <si>
    <t xml:space="preserve">uint16_t </t>
  </si>
  <si>
    <t>R</t>
  </si>
  <si>
    <t>Dashboard</t>
  </si>
  <si>
    <t>Firmware scheda</t>
  </si>
  <si>
    <t>Modello</t>
  </si>
  <si>
    <t>String[20]</t>
  </si>
  <si>
    <t>Matricola</t>
  </si>
  <si>
    <t xml:space="preserve">uint32_t </t>
  </si>
  <si>
    <t>RW</t>
  </si>
  <si>
    <t>Tipo scheda</t>
  </si>
  <si>
    <t>enum dipendente dalle macchine</t>
  </si>
  <si>
    <t>N</t>
  </si>
  <si>
    <t>Stato</t>
  </si>
  <si>
    <t>3*uint32_t</t>
  </si>
  <si>
    <t>dword 0 : numero di riavvii
dword 1: stato della macchina all'ultimo riavvio
dword 2: tensione di bus all'ultimo riavvio</t>
  </si>
  <si>
    <t>Cosa si intende?</t>
  </si>
  <si>
    <t>Allarmi</t>
  </si>
  <si>
    <t xml:space="preserve">due word uint16_t bitmapped </t>
  </si>
  <si>
    <r>
      <rPr>
        <sz val="11"/>
        <color rgb="FF000000"/>
        <rFont val="Calibri"/>
        <family val="2"/>
        <charset val="1"/>
      </rPr>
      <t xml:space="preserve">word 0: allarmi:
</t>
    </r>
    <r>
      <rPr>
        <sz val="8"/>
        <color rgb="FF000000"/>
        <rFont val="Calibri"/>
        <family val="2"/>
        <charset val="1"/>
      </rPr>
      <t xml:space="preserve">bit 0: fusibile aperto
bit 1: sovracorrente
bit 2: batteria scarica
bit 3: errore motore (aperto)
bit 4: errore encoder
bit 5: errore CAN
bit 6: temperatura scheda elevata
bit 7: temperatura ponte elevata
bit 8: errore freno
bit 9: errore salvataggio posizione
</t>
    </r>
    <r>
      <rPr>
        <sz val="11"/>
        <color rgb="FF000000"/>
        <rFont val="Calibri"/>
        <family val="2"/>
        <charset val="1"/>
      </rPr>
      <t xml:space="preserve">word 1: warnings:
</t>
    </r>
    <r>
      <rPr>
        <sz val="8"/>
        <color rgb="FF000000"/>
        <rFont val="Calibri"/>
        <family val="2"/>
        <charset val="1"/>
      </rPr>
      <t xml:space="preserve">bit 0: batteria non originale
bit 1: batteria bassa
bit 2: batteria a fine vita
bit 3: blocco motore
bit 4: mancanza BLE
bit 5: mancanza SM bus
bit 6: sensore tensionamento
bit 7: errore salvataggio posizione
</t>
    </r>
  </si>
  <si>
    <r>
      <rPr>
        <sz val="11"/>
        <color rgb="FF000000"/>
        <rFont val="Calibri"/>
        <family val="2"/>
        <charset val="1"/>
      </rPr>
      <t xml:space="preserve">word 0: allarmi:
</t>
    </r>
    <r>
      <rPr>
        <sz val="8"/>
        <color rgb="FF000000"/>
        <rFont val="Calibri"/>
        <family val="2"/>
        <charset val="1"/>
      </rPr>
      <t xml:space="preserve">bit 0: fusibile aperto
bit 1: sovracorrente relè
bit 2-6: sovracorrente EVx (5 bit)
bit 7: batteria scarica
</t>
    </r>
    <r>
      <rPr>
        <sz val="8"/>
        <rFont val="Calibri"/>
        <family val="2"/>
        <charset val="1"/>
      </rPr>
      <t xml:space="preserve">bit 8: errore motore (aperto)
bit 9-13: EVx aperta (5 bit)
bit 14: temperatura uC elevata
</t>
    </r>
    <r>
      <rPr>
        <sz val="8"/>
        <color rgb="FFFF0000"/>
        <rFont val="Calibri"/>
        <family val="2"/>
        <charset val="1"/>
      </rPr>
      <t xml:space="preserve">bit 15: temperatura ponte elevata
</t>
    </r>
    <r>
      <rPr>
        <sz val="8"/>
        <color rgb="FF000000"/>
        <rFont val="Calibri"/>
        <family val="2"/>
        <charset val="1"/>
      </rPr>
      <t xml:space="preserve">
</t>
    </r>
    <r>
      <rPr>
        <sz val="11"/>
        <color rgb="FF000000"/>
        <rFont val="Calibri"/>
        <family val="2"/>
        <charset val="1"/>
      </rPr>
      <t xml:space="preserve">word 1: warnings:
</t>
    </r>
    <r>
      <rPr>
        <sz val="8"/>
        <color rgb="FF000000"/>
        <rFont val="Calibri"/>
        <family val="2"/>
        <charset val="1"/>
      </rPr>
      <t xml:space="preserve">bit 0: batteria veicolo bassa
bit 1: mancanza BLE (se impostato presente)
bit 2: errore CAN
</t>
    </r>
    <r>
      <rPr>
        <sz val="11"/>
        <color rgb="FF000000"/>
        <rFont val="Calibri"/>
        <family val="2"/>
        <charset val="1"/>
      </rPr>
      <t xml:space="preserve">
</t>
    </r>
    <r>
      <rPr>
        <sz val="11"/>
        <color rgb="FFFF0000"/>
        <rFont val="Calibri"/>
        <family val="2"/>
        <charset val="1"/>
      </rPr>
      <t>SOLO 2 WORD NON VA BENE</t>
    </r>
  </si>
  <si>
    <t>Comandi</t>
  </si>
  <si>
    <t>Temperatura scheda</t>
  </si>
  <si>
    <t>Temperatura uC se c'è nel Qorvo.</t>
  </si>
  <si>
    <t>Motore o Relè a seconda che sia Optimus o Gradino.</t>
  </si>
  <si>
    <t>Diagnostica</t>
  </si>
  <si>
    <t>Cicli complessivi parziale</t>
  </si>
  <si>
    <t>Sgancio piano da tutto chiuso (o riaggancio).</t>
  </si>
  <si>
    <t>Cicli complessivi totale</t>
  </si>
  <si>
    <t>Cicli completi eseguiti parziale</t>
  </si>
  <si>
    <t>Sgancio, apro tutto, inclino, raddrizzo, chiudo.</t>
  </si>
  <si>
    <t>Cicli completi eseguiti totale</t>
  </si>
  <si>
    <t>Livello batteria</t>
  </si>
  <si>
    <t>Batteria del veicolo.</t>
  </si>
  <si>
    <t>Salute batteria</t>
  </si>
  <si>
    <t>Cicli batteria</t>
  </si>
  <si>
    <t>Temperatura batteria</t>
  </si>
  <si>
    <t>int16_t</t>
  </si>
  <si>
    <t>E' in decimi di grado, va divisa per 10</t>
  </si>
  <si>
    <t>BatteryFirmware</t>
  </si>
  <si>
    <t>uint32_t</t>
  </si>
  <si>
    <t>non attivo</t>
  </si>
  <si>
    <t>BatterySerial</t>
  </si>
  <si>
    <t>Significato</t>
  </si>
  <si>
    <t>DATI SHERPA SLIM</t>
  </si>
  <si>
    <t>Stato keyboard</t>
  </si>
  <si>
    <t>uint8_t</t>
  </si>
  <si>
    <t>DATI AZIONAMENTO</t>
  </si>
  <si>
    <t>Motor Running</t>
  </si>
  <si>
    <t>bool</t>
  </si>
  <si>
    <t>0 = motore fermo, 1 = motore in movimento</t>
  </si>
  <si>
    <t>Motor Type</t>
  </si>
  <si>
    <t>enum</t>
  </si>
  <si>
    <r>
      <rPr>
        <sz val="11"/>
        <color rgb="FF000000"/>
        <rFont val="Calibri"/>
        <family val="2"/>
        <charset val="1"/>
      </rPr>
      <t xml:space="preserve">
</t>
    </r>
    <r>
      <rPr>
        <sz val="8"/>
        <color rgb="FF000000"/>
        <rFont val="Calibri"/>
        <family val="2"/>
        <charset val="1"/>
      </rPr>
      <t xml:space="preserve">0 =  Not initialized
1 =  DC BRUSHLESS 
2 =  DC
3  =  AC INDUCTION
4 = AC BRUSHLESS </t>
    </r>
  </si>
  <si>
    <t>Magari mettere tra i motor Type anche l'ON/OFF tipo relè come questo.</t>
  </si>
  <si>
    <t>Motor Position Reference</t>
  </si>
  <si>
    <t xml:space="preserve">int16_t </t>
  </si>
  <si>
    <t>Motor Position</t>
  </si>
  <si>
    <t>Position PID enabled</t>
  </si>
  <si>
    <t>Position PID KP</t>
  </si>
  <si>
    <t>Position PID KI</t>
  </si>
  <si>
    <t xml:space="preserve">int32_t </t>
  </si>
  <si>
    <t>Motor Speed Reference</t>
  </si>
  <si>
    <t>Solo per il gradino, l'Optimus è un relè quindi ON/OFF.</t>
  </si>
  <si>
    <t>Motor Speed</t>
  </si>
  <si>
    <t>Tail Motore</t>
  </si>
  <si>
    <t>Speed PID enabled</t>
  </si>
  <si>
    <t>Speed PID KP</t>
  </si>
  <si>
    <t>Speed PID KI</t>
  </si>
  <si>
    <t>I reference</t>
  </si>
  <si>
    <t>Motor I</t>
  </si>
  <si>
    <t>enabled I PID</t>
  </si>
  <si>
    <t>Kp I PID</t>
  </si>
  <si>
    <t>Ki I PID</t>
  </si>
  <si>
    <t>int32_t</t>
  </si>
  <si>
    <t>Voltage reference applied to the motor</t>
  </si>
  <si>
    <t>Vbus measured</t>
  </si>
  <si>
    <t>Motor faults</t>
  </si>
  <si>
    <t>Quali sono i faults?</t>
  </si>
  <si>
    <t>Motor warnings</t>
  </si>
  <si>
    <t>Quali sono i warning?</t>
  </si>
  <si>
    <t>Number of pulses when breaking in position loop control</t>
  </si>
  <si>
    <t>Time for out of control thermal fault (in ms)</t>
  </si>
  <si>
    <t>Ci sta che il controllo termico valga anche per il relè anche se sarà molto improbabile.</t>
  </si>
  <si>
    <t>Working mode</t>
  </si>
  <si>
    <t>2E</t>
  </si>
  <si>
    <r>
      <rPr>
        <sz val="11"/>
        <color rgb="FF000000"/>
        <rFont val="Calibri"/>
        <family val="2"/>
        <charset val="1"/>
      </rPr>
      <t xml:space="preserve">
</t>
    </r>
    <r>
      <rPr>
        <sz val="8"/>
        <color rgb="FF000000"/>
        <rFont val="Calibri"/>
        <family val="2"/>
        <charset val="1"/>
      </rPr>
      <t xml:space="preserve">0 =  funzionameto normale
1 =  funzionameto automatico di test
2 =  funzionameto manuale di test
</t>
    </r>
  </si>
  <si>
    <t>Stato posizione/in mezzo</t>
  </si>
  <si>
    <t>2F</t>
  </si>
  <si>
    <t>0 = in mezzo, 1 = in posizione</t>
  </si>
  <si>
    <t>Stato movimento motore</t>
  </si>
  <si>
    <t xml:space="preserve">Estremo posizione </t>
  </si>
  <si>
    <t>Posizione punto 1</t>
  </si>
  <si>
    <t>Posizione punto 2</t>
  </si>
  <si>
    <t>Posizione punto 3</t>
  </si>
  <si>
    <t>Posizione punto 4</t>
  </si>
  <si>
    <t>Posizione punto 5</t>
  </si>
  <si>
    <t>Posizione punto 6</t>
  </si>
  <si>
    <t>Posizione punto 7</t>
  </si>
  <si>
    <t>Posizione punto 8</t>
  </si>
  <si>
    <t>Posizione punto 9</t>
  </si>
  <si>
    <t>3A</t>
  </si>
  <si>
    <t>Posizione punto 10</t>
  </si>
  <si>
    <t>3B</t>
  </si>
  <si>
    <t>Posizione punto 11</t>
  </si>
  <si>
    <t>3C</t>
  </si>
  <si>
    <t>Posizione punto 12</t>
  </si>
  <si>
    <t>3D</t>
  </si>
  <si>
    <t>Stato macchina a stati</t>
  </si>
  <si>
    <t>3E</t>
  </si>
  <si>
    <t>Contatore attivazione sensore</t>
  </si>
  <si>
    <t>3F</t>
  </si>
  <si>
    <t>Tipo di piano</t>
  </si>
  <si>
    <t xml:space="preserve">Posizione </t>
  </si>
  <si>
    <t>Impostazioni</t>
  </si>
  <si>
    <t>Cosa vuol dire?</t>
  </si>
  <si>
    <t>Forse è fermo o in movimento?</t>
  </si>
  <si>
    <t>Gestione fine corsa</t>
  </si>
  <si>
    <t>0 = solo PC, 1 = PC e PA</t>
  </si>
  <si>
    <t>Questa potrebbe essere l'inclinazione di carico dell'Optimus.</t>
  </si>
  <si>
    <t>byte 0 = posizione scarico, byte 1 = posizione carico</t>
  </si>
  <si>
    <t>Queste potrebbero essere le tre altezze programmate del Top Lift.</t>
  </si>
  <si>
    <r>
      <rPr>
        <sz val="11"/>
        <color rgb="FF000000"/>
        <rFont val="Calibri"/>
        <family val="2"/>
        <charset val="1"/>
      </rPr>
      <t xml:space="preserve">2 words:
</t>
    </r>
    <r>
      <rPr>
        <sz val="9"/>
        <color rgb="FF000000"/>
        <rFont val="Calibri"/>
        <family val="2"/>
        <charset val="1"/>
      </rPr>
      <t>word 0: lettura potenziometro altezza in bits
word 1: lettura potenziometro tilt in bits</t>
    </r>
  </si>
  <si>
    <t>Posizione altezza punto 1 in bits</t>
  </si>
  <si>
    <t>Posizione altezza punto 2 in bits</t>
  </si>
  <si>
    <t>Posizione altezza punto 3 in bits</t>
  </si>
  <si>
    <t>Stato automa</t>
  </si>
  <si>
    <r>
      <rPr>
        <sz val="11"/>
        <color rgb="FF000000"/>
        <rFont val="Calibri"/>
        <family val="2"/>
        <charset val="1"/>
      </rPr>
      <t xml:space="preserve">Stato corrente della macchina a stati:
</t>
    </r>
    <r>
      <rPr>
        <sz val="9"/>
        <color rgb="FF000000"/>
        <rFont val="Calibri"/>
        <family val="2"/>
        <charset val="1"/>
      </rPr>
      <t>0 = DETECT_M1
1 = PRE_INIT
2 = INIT
3 = RESET_ALTEZZA
6 = SALITA
7 = DISCESA
8 = INIT_ESTRAZIONE
9 = WAIT_ALT_INIT_ESTRAZIONE
10 = WAIT_INIT_ESTRAZIONE
11 = ESTRAZIONE
12 = TESTA_SU
13 = PIEDI_SU
14 = RESET_TILT
15 = WAIT_TILT_RESET
16 = PROGRAM
17 = STOP
18 = ERROR
19 = WARMUP
20 = STOP_MACCHINA_IN
21 = STOP_MACCHINA_EXTR
22 = WAIT_FC_INIT
23 = WAIT_FC_ESTRAZIONE
24 = REFRESH_HEIGHT</t>
    </r>
  </si>
  <si>
    <t>Stato IO</t>
  </si>
  <si>
    <r>
      <rPr>
        <sz val="11"/>
        <color rgb="FF000000"/>
        <rFont val="Calibri"/>
        <family val="2"/>
        <charset val="1"/>
      </rPr>
      <t xml:space="preserve">Bitmapped su 2 word:
Word 0 (IN):
</t>
    </r>
    <r>
      <rPr>
        <sz val="9"/>
        <color rgb="FF000000"/>
        <rFont val="Calibri"/>
        <family val="2"/>
        <charset val="1"/>
      </rPr>
      <t xml:space="preserve">Bit 0: stato fine corsa piano chiuso
Bit 1: stato fine corsa piano aperto
Bit 2: stato comando Up
Bit 3: stato comando Down
Bit 4: stato comando Mem
Bit 5: stato comando Stop
Bit 6: stato comando P1
Bit 7: stato comando P2
Bit 8: stato comando P3
Bit 9: stato selettore inclina
Bit 10: stato selettore va orizzontale
</t>
    </r>
    <r>
      <rPr>
        <sz val="11"/>
        <color rgb="FF000000"/>
        <rFont val="Calibri"/>
        <family val="2"/>
        <charset val="1"/>
      </rPr>
      <t xml:space="preserve">Word 1 (OUT):
</t>
    </r>
    <r>
      <rPr>
        <sz val="9"/>
        <color rgb="FF000000"/>
        <rFont val="Calibri"/>
        <family val="2"/>
        <charset val="1"/>
      </rPr>
      <t>Bit 0: stato elettrovalvola 1
Bit 1: stato elettrovalvola 2
Bit 2: stato elettrovalvola 3 (non presente in top lift)
Bit 3: stato elettrovalvola 7
Bit 4: stato elettrovalvola 8
Bit 5: stato relè motore</t>
    </r>
  </si>
  <si>
    <t>LL-309VPGM2E-A-3C-G52B</t>
  </si>
  <si>
    <t>EDEN</t>
  </si>
  <si>
    <t>SystemOn</t>
  </si>
  <si>
    <t>0 = piano fermo, 1 = piano in movimento</t>
  </si>
  <si>
    <t>float</t>
  </si>
  <si>
    <t>gradi</t>
  </si>
  <si>
    <t>Angolo lato testa</t>
  </si>
  <si>
    <t>Angolo di inclinazione calcolato lato testa (si usa a piano chiuso)</t>
  </si>
  <si>
    <t>DATI UTENTE VECCHIO EDEN</t>
  </si>
  <si>
    <t>Stato valvole</t>
  </si>
  <si>
    <t>8 bit mapped</t>
  </si>
  <si>
    <t>Stato fine corsa</t>
  </si>
  <si>
    <t>Altezza</t>
  </si>
  <si>
    <t>Inclinazione</t>
  </si>
  <si>
    <t>Altezza molleggio</t>
  </si>
  <si>
    <t>Altezza controllo A</t>
  </si>
  <si>
    <t>Stato tasti</t>
  </si>
  <si>
    <t>Tipo macchina</t>
  </si>
  <si>
    <t>Tempo di lavoro</t>
  </si>
  <si>
    <t>uint16_t</t>
  </si>
  <si>
    <t>Tempo dentro</t>
  </si>
  <si>
    <t>Tempo orizzontale</t>
  </si>
  <si>
    <t>Tempo tredelemburg</t>
  </si>
  <si>
    <t>Tempo antitrendelemburg</t>
  </si>
  <si>
    <t>Tempo molleggio</t>
  </si>
  <si>
    <t>Tempo motore</t>
  </si>
  <si>
    <t>Attivazioni EV1</t>
  </si>
  <si>
    <t>Attivazioni EV2</t>
  </si>
  <si>
    <t>Attivazioni EV3</t>
  </si>
  <si>
    <t>Attivazioni EV4</t>
  </si>
  <si>
    <t>Attivazioni EV5</t>
  </si>
  <si>
    <t>Attivazioni EV6</t>
  </si>
  <si>
    <t>Attivazioni EV7</t>
  </si>
  <si>
    <t>Attivazioni EV8</t>
  </si>
  <si>
    <t>Aperture carrello</t>
  </si>
  <si>
    <t>Altezza start molleggio</t>
  </si>
  <si>
    <t>Inclinazione nulla molleggio</t>
  </si>
  <si>
    <t>Inclinazione di carico</t>
  </si>
  <si>
    <t>Livello minimo batteria</t>
  </si>
  <si>
    <t>Livello massimo</t>
  </si>
  <si>
    <t>Inclinazione minima</t>
  </si>
  <si>
    <t>Inclinazione massima</t>
  </si>
  <si>
    <t>Altezza massima</t>
  </si>
  <si>
    <t>Altezza minima</t>
  </si>
  <si>
    <t>Limite massimo per martinetto</t>
  </si>
  <si>
    <t>Correttore kappa</t>
  </si>
  <si>
    <t>Tempo durata entrata in standby</t>
  </si>
  <si>
    <t>Costa sensibile attivata</t>
  </si>
  <si>
    <t>Nome Firmware</t>
  </si>
  <si>
    <t>Codice scheda</t>
  </si>
  <si>
    <t>Numero progetto</t>
  </si>
  <si>
    <t>Valore Machine_Type</t>
  </si>
  <si>
    <t>Valore Firmware_Type</t>
  </si>
  <si>
    <t>Scheda Motore Sherpa Slim</t>
  </si>
  <si>
    <t>DIS0020275</t>
  </si>
  <si>
    <t>PSL21-315</t>
  </si>
  <si>
    <t>Scheda tastiera Sherpa Slim</t>
  </si>
  <si>
    <t>DIS0014782</t>
  </si>
  <si>
    <t>Scheda madre Optimus</t>
  </si>
  <si>
    <t>DIS0020516</t>
  </si>
  <si>
    <t>PSL22-324</t>
  </si>
  <si>
    <t>Scheda tastiera Optimus</t>
  </si>
  <si>
    <t>DIS0021335*</t>
  </si>
  <si>
    <t>Scheda madre Eden</t>
  </si>
  <si>
    <t>DIS0020477</t>
  </si>
  <si>
    <t>PSL23-347</t>
  </si>
  <si>
    <t>Gradino</t>
  </si>
  <si>
    <t>DIS0020516**</t>
  </si>
  <si>
    <t>Macchina</t>
  </si>
  <si>
    <t>Codice Scheda</t>
  </si>
  <si>
    <t>Scheda</t>
  </si>
  <si>
    <t>MACHINE</t>
  </si>
  <si>
    <t>FIRMWARE_TYPE</t>
  </si>
  <si>
    <t>BOARD_NUMBER</t>
  </si>
  <si>
    <t>Indirizzo Stem Protocol</t>
  </si>
  <si>
    <t>DIS0020785</t>
  </si>
  <si>
    <t>Azionamento</t>
  </si>
  <si>
    <t>Tastiera</t>
  </si>
  <si>
    <t>Macchina già immessa sul mercato</t>
  </si>
  <si>
    <t>OPTIMUS (TOP-LIFT)</t>
  </si>
  <si>
    <t>Madre</t>
  </si>
  <si>
    <t>*</t>
  </si>
  <si>
    <t>Codice dell'interfaccia, la scheda integrata con la tastiera fisica avrà altri codici</t>
  </si>
  <si>
    <t>OPTIMUS/UNIVERSALE</t>
  </si>
  <si>
    <t>**</t>
  </si>
  <si>
    <t>Stessa scheda dell'Optimus ma che assumerà altro codice</t>
  </si>
  <si>
    <t>GRADINO</t>
  </si>
  <si>
    <t>Tastiera SherpaSlim</t>
  </si>
  <si>
    <t>Immagine tasti SherpaSlim per gestire i 2 blu</t>
  </si>
  <si>
    <t>Gateway B2</t>
  </si>
  <si>
    <t>Display B2</t>
  </si>
  <si>
    <t>Stato Scheda</t>
  </si>
  <si>
    <t>STARTUP=0,
SHEARCING_FIRST_ZERO=1,
STAND_BY=2,
CLOSE=3,
WAIT_FOR_CLOSE=4,
ZERO_CATCH=5,
OPEN=6,</t>
  </si>
  <si>
    <t>StartLearn</t>
  </si>
  <si>
    <t>0 = normale, 1 =vai in apprendimento</t>
  </si>
  <si>
    <t>Posizione</t>
  </si>
  <si>
    <t>impulsi</t>
  </si>
  <si>
    <t>Posizione attuale in impulsi</t>
  </si>
  <si>
    <t>Ampere/100</t>
  </si>
  <si>
    <t>Corrente del motore</t>
  </si>
  <si>
    <t>Modo FS</t>
  </si>
  <si>
    <t>0= Normale solo contatto porta 1= Modo FS</t>
  </si>
  <si>
    <t>Secondi lavoro motore parziale</t>
  </si>
  <si>
    <t>Secondi lavoro motore totale</t>
  </si>
  <si>
    <t>Cicli complessivi parziale in Apertura</t>
  </si>
  <si>
    <t>Cicli complessivi totale in Apertura</t>
  </si>
  <si>
    <t>Cicli completi eseguiti parziale in Apertura</t>
  </si>
  <si>
    <t>Cicli completi eseguiti totale in Apertura</t>
  </si>
  <si>
    <t>Cicli complessivi parziale in Chiusura</t>
  </si>
  <si>
    <t>Cicli complessivi totale in Chiusura</t>
  </si>
  <si>
    <t>Cicli completi eseguiti parziale in Chiusura</t>
  </si>
  <si>
    <t>Cicli completi eseguiti totale in Chiusura</t>
  </si>
  <si>
    <t xml:space="preserve"> I Motore</t>
  </si>
  <si>
    <t>I max in Apertura</t>
  </si>
  <si>
    <t>I media in Apertura</t>
  </si>
  <si>
    <t>I max in prima Apertura</t>
  </si>
  <si>
    <t>I media in prima Apertura</t>
  </si>
  <si>
    <t>I max in Chiusura</t>
  </si>
  <si>
    <t>I media in Chiusura</t>
  </si>
  <si>
    <t>I max in prima Chiusura</t>
  </si>
  <si>
    <t>I media in prima Chiusura</t>
  </si>
  <si>
    <t>Salva i valori di prima apertura/chiusura</t>
  </si>
  <si>
    <t xml:space="preserve">bit 0 = 1 salva i valori alla prossima apertura,
 bit 1 =  salva i valori alla prossima chiusura, 
  bit 2 =  salva i valori alla fine del prossimo apprendimento </t>
  </si>
  <si>
    <t>1A</t>
  </si>
  <si>
    <t>PACCHIO</t>
  </si>
  <si>
    <t>Non Usato</t>
  </si>
  <si>
    <t>Motore</t>
  </si>
  <si>
    <t>Hmi B2</t>
  </si>
  <si>
    <t>0 = blocca apprendimento
1 =  permetti apprendimento</t>
  </si>
  <si>
    <t>Ubicazione in App</t>
  </si>
  <si>
    <t>Aspetto in App</t>
  </si>
  <si>
    <t>Diagnostica/Motore</t>
  </si>
  <si>
    <t>Elenco</t>
  </si>
  <si>
    <t>Effetti in App</t>
  </si>
  <si>
    <t>Nessuno</t>
  </si>
  <si>
    <t>Nome in App</t>
  </si>
  <si>
    <t>KP PID posizione</t>
  </si>
  <si>
    <t>KI PID posizione</t>
  </si>
  <si>
    <t>KP PID velocità</t>
  </si>
  <si>
    <t>KI PID velocità</t>
  </si>
  <si>
    <t>Corrente</t>
  </si>
  <si>
    <t>Velocità</t>
  </si>
  <si>
    <t>Guasti motore</t>
  </si>
  <si>
    <t>Avvisi motore</t>
  </si>
  <si>
    <t>Tile Allarmi</t>
  </si>
  <si>
    <t>Sottotitolo in Tile
Codice errore</t>
  </si>
  <si>
    <t>Cambio colore Tile
Apparizione simbolo triangolo Tile</t>
  </si>
  <si>
    <t>Allarmi
verificare nome per nome</t>
  </si>
  <si>
    <t>Intestazione
Diagnostica 1</t>
  </si>
  <si>
    <t>Riga elenco</t>
  </si>
  <si>
    <t>Firmware "scheda"</t>
  </si>
  <si>
    <t>"Modello"</t>
  </si>
  <si>
    <t>Intestazione
Diagnostica</t>
  </si>
  <si>
    <t>Versione
Firmware globale</t>
  </si>
  <si>
    <t>Sottotitolo
Riga elenco</t>
  </si>
  <si>
    <t>Titolo
Riga elenco</t>
  </si>
  <si>
    <t>"Matricola"
Numero di serie</t>
  </si>
  <si>
    <t>Numero singoli allarmi</t>
  </si>
  <si>
    <t>Ultimo allarme</t>
  </si>
  <si>
    <t>Numero singoli warning</t>
  </si>
  <si>
    <t>Ultimo warning</t>
  </si>
  <si>
    <t>ERRORI
Sovratensione
Batteria bassa
Fusibile aperto
Guasto motore
Extracorrente motore
Elettrovalvola n aperta
Bobina EV n non commutata
Errore comunicazione CAN n
Errore comunicazione BLE
Extratemperatura ponte
Extratemperatura CPU
Intervento costa sensibile
AVVISI
Urto</t>
  </si>
  <si>
    <t>Stato ingressi fisici</t>
  </si>
  <si>
    <t>Stato uscite fisiche</t>
  </si>
  <si>
    <t>BLE module</t>
  </si>
  <si>
    <t>Unlock caratteristica BLE</t>
  </si>
  <si>
    <t>Lock caratteristica BLE</t>
  </si>
  <si>
    <t>Abilita pairing mode client BLE</t>
  </si>
  <si>
    <t>Disabilita pairing mode client BLE</t>
  </si>
  <si>
    <t>Device Name[0]</t>
  </si>
  <si>
    <t>Device Name[1]</t>
  </si>
  <si>
    <t>Device Name[2]</t>
  </si>
  <si>
    <t>Device Name[3]</t>
  </si>
  <si>
    <t>Device Name[4]</t>
  </si>
  <si>
    <t>Device Name[5]</t>
  </si>
  <si>
    <t>Device Name[6]</t>
  </si>
  <si>
    <t>Device Name[7]</t>
  </si>
  <si>
    <t>Device Name[8]</t>
  </si>
  <si>
    <t>Device Name[9]</t>
  </si>
  <si>
    <t>0x24</t>
  </si>
  <si>
    <t>0x00</t>
  </si>
  <si>
    <t>0x41</t>
  </si>
  <si>
    <t>0x02</t>
  </si>
  <si>
    <t>0x06</t>
  </si>
  <si>
    <t>0x05</t>
  </si>
  <si>
    <t>0x01</t>
  </si>
  <si>
    <t>0xC1</t>
  </si>
  <si>
    <t>0x0B</t>
  </si>
  <si>
    <t>0xF7</t>
  </si>
  <si>
    <t>0x83</t>
  </si>
  <si>
    <t>0x0C</t>
  </si>
  <si>
    <t>0x35</t>
  </si>
  <si>
    <t>0xC2</t>
  </si>
  <si>
    <t>0x14</t>
  </si>
  <si>
    <t>0x3F</t>
  </si>
  <si>
    <t>0x13</t>
  </si>
  <si>
    <t>0x53</t>
  </si>
  <si>
    <t>0x68</t>
  </si>
  <si>
    <t>0x65</t>
  </si>
  <si>
    <t>0x72</t>
  </si>
  <si>
    <t>0x70</t>
  </si>
  <si>
    <t>0x61</t>
  </si>
  <si>
    <t>0xxx</t>
  </si>
  <si>
    <t>0x30</t>
  </si>
  <si>
    <t>SPARK</t>
  </si>
  <si>
    <t>HMI</t>
  </si>
  <si>
    <t>Modulo BLE</t>
  </si>
  <si>
    <t>PSL21-305</t>
  </si>
  <si>
    <t>DIS0020254</t>
  </si>
  <si>
    <t>Protezione apprendimeto</t>
  </si>
  <si>
    <t>Imposta telemetria</t>
  </si>
  <si>
    <t>Indirizzo Logico Begin H</t>
  </si>
  <si>
    <t>Indirizzo Logico Begin L</t>
  </si>
  <si>
    <t>Periodo ms H</t>
  </si>
  <si>
    <t>Periodo ms L</t>
  </si>
  <si>
    <t>Start telemetria</t>
  </si>
  <si>
    <t>Imposta telemetria Risposta</t>
  </si>
  <si>
    <t>Start telemetria Risposta</t>
  </si>
  <si>
    <t>Stop telemetria</t>
  </si>
  <si>
    <t>Stop telemetria Risposta</t>
  </si>
  <si>
    <t>Indirizzo Logico End H</t>
  </si>
  <si>
    <t>Indirizzo Logico End L</t>
  </si>
  <si>
    <t>Timestamp HH</t>
  </si>
  <si>
    <t>Timestamp HL</t>
  </si>
  <si>
    <t>Timestamp LH</t>
  </si>
  <si>
    <t>Timestamp LL</t>
  </si>
  <si>
    <t>Dati</t>
  </si>
  <si>
    <t>Invio telemetria</t>
  </si>
  <si>
    <t>Gancio 10G</t>
  </si>
  <si>
    <t>Gancio barella</t>
  </si>
  <si>
    <t>Sensore Sherpa</t>
  </si>
  <si>
    <t>NFC</t>
  </si>
  <si>
    <t>Luci</t>
  </si>
  <si>
    <t>Dati SIM</t>
  </si>
  <si>
    <t>Stato Gateway</t>
  </si>
  <si>
    <t>custom</t>
  </si>
  <si>
    <t>Stato pulsanti</t>
  </si>
  <si>
    <t>Sensore leva</t>
  </si>
  <si>
    <t>Angolo X</t>
  </si>
  <si>
    <t>Angolo Y</t>
  </si>
  <si>
    <t>Angolo Z</t>
  </si>
  <si>
    <t>Accelerazione X</t>
  </si>
  <si>
    <t>Accelerazione Y</t>
  </si>
  <si>
    <t>Accelerazione Z</t>
  </si>
  <si>
    <t>Macchina a stati</t>
  </si>
  <si>
    <t>Numero agganci al 10G non resettabile</t>
  </si>
  <si>
    <t>Numero agganci al 10G resettabile dopo ciclo Sherpa?</t>
  </si>
  <si>
    <t>Numero agganci al 10G non resettabile dopo ciclo Sherpa?</t>
  </si>
  <si>
    <t>Coordinata X touch</t>
  </si>
  <si>
    <t>Coordinata Y touch</t>
  </si>
  <si>
    <t>Indirizzo Scheda HH</t>
  </si>
  <si>
    <t>Indirizzo Scheda HL</t>
  </si>
  <si>
    <t>Indirizzo Scheda LH</t>
  </si>
  <si>
    <t>Indirizzo Scheda LL</t>
  </si>
  <si>
    <t>Configura log</t>
  </si>
  <si>
    <t>Indirizzo Scheda Evento HL</t>
  </si>
  <si>
    <t>Indirizzo Scheda Evento LH</t>
  </si>
  <si>
    <t>Indirizzo Scheda Evento LL</t>
  </si>
  <si>
    <t>Indirizzo Logico Evento H</t>
  </si>
  <si>
    <t>Indirizzo Logico Evento L</t>
  </si>
  <si>
    <t>Indirizzo Scheda Evento HH</t>
  </si>
  <si>
    <t>Soglia Evento HH</t>
  </si>
  <si>
    <t>Soglia Evento HL</t>
  </si>
  <si>
    <t>Soglia Evento LH</t>
  </si>
  <si>
    <t>Soglia Evento LL</t>
  </si>
  <si>
    <t>Uso</t>
  </si>
  <si>
    <t>Numero agganci al 10G resettabile (il segnale arriva dal Gateway ma l'elaborazione come significato e funzione avviene qui)</t>
  </si>
  <si>
    <t>Log</t>
  </si>
  <si>
    <t>GD</t>
  </si>
  <si>
    <t>QUESTA ROBA SECONDO ME NON VA NELLE UNIVERSALI</t>
  </si>
  <si>
    <t>QUESTA ROBA INVECE VA BENE QUI</t>
  </si>
  <si>
    <t>COS'È?</t>
  </si>
  <si>
    <t>Log
GD</t>
  </si>
  <si>
    <t>DATI GRADINO</t>
  </si>
  <si>
    <t>INDIRIZZO H+L (hex)</t>
  </si>
  <si>
    <t>DATI OPTIMUS</t>
  </si>
  <si>
    <t>1B</t>
  </si>
  <si>
    <t>1C</t>
  </si>
  <si>
    <t>1D</t>
  </si>
  <si>
    <t>Start log</t>
  </si>
  <si>
    <t>Start log Risposta</t>
  </si>
  <si>
    <t>Stop log</t>
  </si>
  <si>
    <t>Stop log Risposta</t>
  </si>
  <si>
    <t>Richiesta log</t>
  </si>
  <si>
    <t>Richiesta log Risposta</t>
  </si>
  <si>
    <t>DATI LOGICI EDEN</t>
  </si>
  <si>
    <t>Log GD</t>
  </si>
  <si>
    <t>Stato pompa</t>
  </si>
  <si>
    <t>0 = fermo, 1 = in accensione, 2= acceso</t>
  </si>
  <si>
    <t>Stato EV1</t>
  </si>
  <si>
    <t>Stato EV2</t>
  </si>
  <si>
    <t>Stato EV3</t>
  </si>
  <si>
    <t>Stato EV4</t>
  </si>
  <si>
    <t>Stato EV5</t>
  </si>
  <si>
    <t>Stato EV6</t>
  </si>
  <si>
    <t>Stato EV7</t>
  </si>
  <si>
    <t>Stato EV8</t>
  </si>
  <si>
    <t>Stato EV9</t>
  </si>
  <si>
    <t>Stato EV10</t>
  </si>
  <si>
    <t>DATI LOGICI HMI SPYKE</t>
  </si>
  <si>
    <t>HMI SPYKE</t>
  </si>
  <si>
    <t>255.255</t>
  </si>
  <si>
    <t>DATI LOGICI GATEWAY SPYKE</t>
  </si>
  <si>
    <t>Stato BLE</t>
  </si>
  <si>
    <t>Stato LTE</t>
  </si>
  <si>
    <t>Rostro</t>
  </si>
  <si>
    <t>Motori Dx</t>
  </si>
  <si>
    <t>Motori Sx</t>
  </si>
  <si>
    <t>Stato connessione client BLE</t>
  </si>
  <si>
    <t>Stato connessione client BLE Risposta</t>
  </si>
  <si>
    <t>Stato
(0 = non connesso, 1 = connesso)</t>
  </si>
  <si>
    <t>RSSI connessione</t>
  </si>
  <si>
    <t>0x1D</t>
  </si>
  <si>
    <t>CRC1</t>
  </si>
  <si>
    <t>CRC2</t>
  </si>
  <si>
    <t>DIS0022393</t>
  </si>
  <si>
    <t>EV1 I Reference</t>
  </si>
  <si>
    <t>EV1 I Masured</t>
  </si>
  <si>
    <t>EV1 PWM out</t>
  </si>
  <si>
    <t>Ore lavoro EV1</t>
  </si>
  <si>
    <t>Ore lavoro EV2</t>
  </si>
  <si>
    <t>Ore lavoro EV3</t>
  </si>
  <si>
    <t>Ore lavoro EV4</t>
  </si>
  <si>
    <t>Ore lavoro EV5</t>
  </si>
  <si>
    <t>Ore lavoro EV6</t>
  </si>
  <si>
    <t>Ore lavoro EV7</t>
  </si>
  <si>
    <t>Ore lavoro EV8</t>
  </si>
  <si>
    <t>Ore lavoro EV9</t>
  </si>
  <si>
    <t>Ore lavoro EV10</t>
  </si>
  <si>
    <t>EV2 I Reference</t>
  </si>
  <si>
    <t>EV2 I Masured</t>
  </si>
  <si>
    <t>EV2 PWM out</t>
  </si>
  <si>
    <t>EV3 I Reference</t>
  </si>
  <si>
    <t>EV3 I Masured</t>
  </si>
  <si>
    <t>EV3 PWM out</t>
  </si>
  <si>
    <t>EV4 I Reference</t>
  </si>
  <si>
    <t>EV4 I Masured</t>
  </si>
  <si>
    <t>EV4 PWM out</t>
  </si>
  <si>
    <t>EV5 I Reference</t>
  </si>
  <si>
    <t>EV5 I Masured</t>
  </si>
  <si>
    <t>EV5 PWM out</t>
  </si>
  <si>
    <t>EV6 I Reference</t>
  </si>
  <si>
    <t>EV6 I Masured</t>
  </si>
  <si>
    <t>EV6 PWM out</t>
  </si>
  <si>
    <t>EV7 I Reference</t>
  </si>
  <si>
    <t>EV7 I Masured</t>
  </si>
  <si>
    <t>EV7 PWM out</t>
  </si>
  <si>
    <t>EV8 I Reference</t>
  </si>
  <si>
    <t>EV8 I Masured</t>
  </si>
  <si>
    <t>EV8 PWM out</t>
  </si>
  <si>
    <t>EV9 I Reference</t>
  </si>
  <si>
    <t>EV9 I Masured</t>
  </si>
  <si>
    <t>EV9 PWM out</t>
  </si>
  <si>
    <t>EV10 I Reference</t>
  </si>
  <si>
    <t>EV10 I Masured</t>
  </si>
  <si>
    <t>EV10 PWM out</t>
  </si>
  <si>
    <t>Ore lavoro pompa</t>
  </si>
  <si>
    <t>Angolo inclinazione del piano</t>
  </si>
  <si>
    <t xml:space="preserve">Pompa I misurata </t>
  </si>
  <si>
    <t xml:space="preserve">Pompa Riferimento </t>
  </si>
  <si>
    <t>Pompa PWM Out</t>
  </si>
  <si>
    <t>I max Pompa</t>
  </si>
  <si>
    <t>Stato Luci (3 colori RGB)</t>
  </si>
  <si>
    <t>Valore fisso:"Eden"</t>
  </si>
  <si>
    <t>Valore fisso: 5</t>
  </si>
  <si>
    <t>Stato comando esterno su</t>
  </si>
  <si>
    <t>Stato comando esterno giu'</t>
  </si>
  <si>
    <t>Variabile logica gestita dalla tastiera esterna
(non usare con l'app)</t>
  </si>
  <si>
    <t>Angolo di inclinazione del piano:
12.0 è testa su massimo,
 -12.0 e piedi su massimo,
 0.0 è orizzontale</t>
  </si>
  <si>
    <t>bit 2=R, bit 1=G, bit 0=B</t>
  </si>
  <si>
    <t>…</t>
  </si>
  <si>
    <t>Indirizzo Logico Data1 H</t>
  </si>
  <si>
    <t>Indirizzo Logico Data1 L</t>
  </si>
  <si>
    <t>Indirizzo Logico Data8 H</t>
  </si>
  <si>
    <t>Indirizzo Logico Data8 L</t>
  </si>
  <si>
    <t>Index HH</t>
  </si>
  <si>
    <t>Index HL</t>
  </si>
  <si>
    <t>Index LH</t>
  </si>
  <si>
    <t>Index LL</t>
  </si>
  <si>
    <t>Gancio 10g</t>
  </si>
  <si>
    <t>Gancio Barella</t>
  </si>
  <si>
    <t>Tipo Barella</t>
  </si>
  <si>
    <t>Stato gateway</t>
  </si>
  <si>
    <t>RSSI LTE</t>
  </si>
  <si>
    <t>RSSI BLE</t>
  </si>
  <si>
    <t>Stato connessione Sherpa</t>
  </si>
  <si>
    <r>
      <t xml:space="preserve">Gli allarmi vengono raccolti da tutte le schede periferiche e raggruppati in un unico gruppo di variabili.
</t>
    </r>
    <r>
      <rPr>
        <b/>
        <sz val="11"/>
        <color rgb="FF000000"/>
        <rFont val="Calibri"/>
        <family val="2"/>
      </rPr>
      <t xml:space="preserve">Allarmi
</t>
    </r>
    <r>
      <rPr>
        <sz val="11"/>
        <color rgb="FF000000"/>
        <rFont val="Calibri"/>
        <family val="2"/>
        <charset val="1"/>
      </rPr>
      <t xml:space="preserve">Errore CAN
Tensione troppo bassa
Errore touch
Errore sensore 10G (se vedo Vricarica senza vedere 10G)
Sovraccarico celle (quando sono a tensione batteria massima ma ho ancora corrente) è un errore o un warning?
</t>
    </r>
    <r>
      <rPr>
        <b/>
        <sz val="11"/>
        <color rgb="FF000000"/>
        <rFont val="Calibri"/>
        <family val="2"/>
      </rPr>
      <t xml:space="preserve">Avvisi
</t>
    </r>
    <r>
      <rPr>
        <sz val="11"/>
        <color rgb="FF000000"/>
        <rFont val="Calibri"/>
        <family val="2"/>
        <charset val="1"/>
      </rPr>
      <t>Tensione bassa
NFC non presente (se barellino agganciato)
NFC non riconosciuto (se barellino agganciato)</t>
    </r>
    <r>
      <rPr>
        <sz val="11"/>
        <color rgb="FF000000"/>
        <rFont val="Calibri"/>
        <family val="2"/>
      </rPr>
      <t xml:space="preserve">
Barellino non agganciato (se NFC presente)
Mancanza di Vricarica con 10G agganciato
Celle sbilanciate (quando sono in ricarica ma non ho corrente di ricarica)
Perdita di stabilità della barella (da giroscopio)
Incoerenza leva/pulsante in carico
Incoerenza leva/pulsante in scarico</t>
    </r>
  </si>
  <si>
    <r>
      <rPr>
        <b/>
        <sz val="11"/>
        <color rgb="FF000000"/>
        <rFont val="Calibri"/>
        <family val="2"/>
      </rPr>
      <t xml:space="preserve">Allarmi
</t>
    </r>
    <r>
      <rPr>
        <sz val="11"/>
        <color rgb="FF000000"/>
        <rFont val="Calibri"/>
        <family val="2"/>
        <charset val="1"/>
      </rPr>
      <t xml:space="preserve">Errore CAN
NFC non risponde
Mancanza SIM
Modulo IoT non risponde
Modulo BLE non risponde
</t>
    </r>
    <r>
      <rPr>
        <b/>
        <sz val="11"/>
        <color rgb="FF000000"/>
        <rFont val="Calibri"/>
        <family val="2"/>
      </rPr>
      <t xml:space="preserve">Avvisi
</t>
    </r>
  </si>
  <si>
    <t>Stato automa principale</t>
  </si>
  <si>
    <t>Tensione batteria mV</t>
  </si>
  <si>
    <t>L'indirizzo si calcola come val=(((uint32_t)MACHINE)&lt;&lt;16)|
(((uint32_t)(FIRMWARE_TYPE &amp; 0x03FF))&lt;&lt;6)
|(((uint32_t)(BOARD_NUMBER &amp; 0x003F)))</t>
  </si>
  <si>
    <t>TASTIERA</t>
  </si>
  <si>
    <t>DATI LOGICI TASTIERA</t>
  </si>
  <si>
    <t>Foto Tasti</t>
  </si>
  <si>
    <t>Stato sistema (non più usato)</t>
  </si>
  <si>
    <t>Comando Led Verde</t>
  </si>
  <si>
    <t>Comando Led Rosso</t>
  </si>
  <si>
    <t>Comando Buzzer</t>
  </si>
  <si>
    <t xml:space="preserve">BYTE 0: Attivazione buzzer, numero ripetizioni 
bit8: 1=Buzzer acceso fisso
bit7: 1=Buzzer lampeggiante
bit 6-0: Numero di lampeggi per ogni ciclo
BYTE 1: Tempo di on del singolo suono (in 4ms) 
BYTE 2: Tempo di off del singolo suono (in 4ms)
BYTE 3: Tempo di pausa tra i gruppi di suoni (in 4ms) </t>
  </si>
  <si>
    <t xml:space="preserve">BYTE 0: Attivazione led, numero ripetizioni 
bit8: 1=Led acceso fisso
bit7: 1=Led lampeggiante
bit 6: 1= Single shot, 0 =loop
bit 5-0: Numero di lampeggi per ogni ciclo
BYTE 1: Tempo di on del singolo lampeggio (in 4ms) 
BYTE 2: Tempo di off del singolo lampeggio (in 4ms)
BYTE 3: Tempo di pausa tra i gruppi di lampeggi (in 4ms) </t>
  </si>
  <si>
    <t>Variabile logica gestita dalla tastiera esterna</t>
  </si>
  <si>
    <t>Stato sintetico</t>
  </si>
  <si>
    <r>
      <t xml:space="preserve">
</t>
    </r>
    <r>
      <rPr>
        <sz val="8"/>
        <color rgb="FF000000"/>
        <rFont val="Calibri"/>
        <family val="2"/>
        <charset val="1"/>
      </rPr>
      <t xml:space="preserve">0 = macchina in idle
1 =  macchina in una delle posizioni
2 =  macchina tra le posizioni
3 =  macchina in riconoscimento di zero
4 =  macchia in rilascio cinghia
5 =  macchina ferma a zero
6 =  Inizio apprendimento
7 =  movimento primo punto
8 =  stop primo punto
9  =  memorizza primo punto
10 =  movimento altri punti
11 =  stop altri punti
12  =  memorizza altri punti
13 =  fine apprendimento
14 =  fermo con posizioni non valide
15  =  in errore
</t>
    </r>
  </si>
  <si>
    <t>bit7: immagine del contatto cinghia (se vale 1 è in warning)
bit 1-0: stato della barella 
( 0= SEI TRA I PUNTI,
1=SEI A ZERO,
2= SEI TUTTO FUORI ).</t>
  </si>
  <si>
    <t>0 = not connected
1 = connected</t>
  </si>
  <si>
    <t>0 = hooked 10g
1 = unhooked 10g
2 = idle out
3 = ongoing out
4 = idle mode in
5 = ongoing in
6 = extracted</t>
  </si>
  <si>
    <t>Stato macchina</t>
  </si>
  <si>
    <t>0 = init
1 = normal
2 = charging
3 = error
4 = boot
5 = death
6 = buttons mismatch
7 = hooked
8 = wait for hook</t>
  </si>
  <si>
    <t>int8_t</t>
  </si>
  <si>
    <t>Risultato
(0 = ok, != 0 non può muoversi)</t>
  </si>
  <si>
    <t>Direzione
(1 = scarico, 2 = carico, 3=entrambe)</t>
  </si>
  <si>
    <t>0 = Emergency stretcher
1 = Bio stretcher
2 = Bariatric stretcher
3 = Incubator</t>
  </si>
  <si>
    <t xml:space="preserve">Stato finecorsa </t>
  </si>
  <si>
    <t>bit 0: finecorsa piano esteso, bit 1: finecorsa piano chiuso</t>
  </si>
  <si>
    <t>libero</t>
  </si>
  <si>
    <t>0 = Nessun pulsante
1 = Pulsate UP
2 = Pulsante DOWN
3 = Entrambi</t>
  </si>
  <si>
    <t>1 = Leva tirata</t>
  </si>
  <si>
    <t>1 = Agganciato</t>
  </si>
  <si>
    <t>secondi di lavoro parziale della macchina</t>
  </si>
  <si>
    <t>secondi di lavoro totale della macchina</t>
  </si>
  <si>
    <t xml:space="preserve">Offset orizzontale in bits </t>
  </si>
  <si>
    <t>bits</t>
  </si>
  <si>
    <t>numero cicli di lavoro non completi parziale</t>
  </si>
  <si>
    <t>numero cicli di lavoro non completi totale</t>
  </si>
  <si>
    <t>numero cicli di lavoro completi parziale</t>
  </si>
  <si>
    <t>numero cicli di lavoro completi totale</t>
  </si>
  <si>
    <t>Derivato dalla tensione misurata, in percentaule</t>
  </si>
  <si>
    <t>%</t>
  </si>
  <si>
    <t>Salva orizzontale</t>
  </si>
  <si>
    <t>se va a 0 prendo lo zero del piano</t>
  </si>
  <si>
    <t>Valore RAW del potenzio altezza</t>
  </si>
  <si>
    <t>Valore RAW del potenzio inclinazione</t>
  </si>
  <si>
    <t>0 = piano spento, 1 = piano acceso</t>
  </si>
  <si>
    <t>Soglia di undervoltage</t>
  </si>
  <si>
    <t>0.0</t>
  </si>
  <si>
    <t>14.0</t>
  </si>
  <si>
    <t>volts</t>
  </si>
  <si>
    <t>Valore minimo di batteria (a cui ho 0% e scatto del fault)</t>
  </si>
  <si>
    <t>Valore massimo di batteria (a cui ho il 100%)</t>
  </si>
  <si>
    <t>Dispositivi collegati</t>
  </si>
  <si>
    <t>0x01 = Eden
0x02 = ...
0x04 = ...
0x08 = ...
0x10 = ...
0x20 = ...
0x40 = ...
0x80 = …</t>
  </si>
  <si>
    <t>Potenzio altezza max</t>
  </si>
  <si>
    <t>Potenzio altezza min</t>
  </si>
  <si>
    <t>Potenzio inclinazione max</t>
  </si>
  <si>
    <t>Potenzio inclinazione min</t>
  </si>
  <si>
    <t>Valore massimo in bits letto dal valore RAW del potenzio in apprendimento</t>
  </si>
  <si>
    <t>Valore minimo in bits letto dal valore RAW del potenzio in apprendimento</t>
  </si>
  <si>
    <t>Soglia di batteria carica 100%</t>
  </si>
  <si>
    <t>Altezza testa</t>
  </si>
  <si>
    <t>mm</t>
  </si>
  <si>
    <t>Altezza testa in mm</t>
  </si>
  <si>
    <t>Vai ad altezza di carico all'estrazione</t>
  </si>
  <si>
    <t>0 = disattivo, 1 = attivo</t>
  </si>
  <si>
    <t>Vai sempre in molleggio</t>
  </si>
  <si>
    <t>0 = rigido, 1 = molleggio</t>
  </si>
  <si>
    <t>Autospegnimento in rigido</t>
  </si>
  <si>
    <t>Timer autospegni in rigido</t>
  </si>
  <si>
    <t>Autospegnimento in molleggio</t>
  </si>
  <si>
    <t>Timer autospegni in molleggio</t>
  </si>
  <si>
    <t>min</t>
  </si>
  <si>
    <t>Vai in molleggio alla richiusura</t>
  </si>
  <si>
    <t xml:space="preserve">0 = sempre acceso,  1= autospegnimento </t>
  </si>
  <si>
    <t>0 = sempre acceso , 1= autospegnimento</t>
  </si>
  <si>
    <r>
      <t xml:space="preserve">
</t>
    </r>
    <r>
      <rPr>
        <sz val="8"/>
        <color rgb="FF000000"/>
        <rFont val="Calibri"/>
        <family val="2"/>
        <charset val="1"/>
      </rPr>
      <t xml:space="preserve">0 =  GE2
1 =  GE3 
2 =  GE4
3  =  DRAWER
</t>
    </r>
  </si>
  <si>
    <t>Step Type</t>
  </si>
  <si>
    <t>0 = nessuno
1 =  Spyke</t>
  </si>
  <si>
    <t>Tipo di barella</t>
  </si>
  <si>
    <t>Max current (abs)</t>
  </si>
  <si>
    <t>300 (?)</t>
  </si>
  <si>
    <t>Max current primo zero (abs)</t>
  </si>
  <si>
    <t>XX</t>
  </si>
  <si>
    <t>200 (?)</t>
  </si>
  <si>
    <t>Max currentzero (abs)</t>
  </si>
  <si>
    <t>150 (?)</t>
  </si>
  <si>
    <t>600 (?)</t>
  </si>
  <si>
    <t>400 (?)</t>
  </si>
  <si>
    <t>0 (UNDEFINED)
1 (NOT_CALIBRATED?)
2 (OPENING_CALIBRATION)
3 (CLOSING_CALIBRATION)
4 (NOT_REPORTED?)
5 (RESETTING)
6 (END_CLOSING)
7 (IN_CLOSING)
8 (END_OPENING)
9 (IN_OPENING)</t>
  </si>
  <si>
    <t>word 0: allarmi:
bit 0: fusibile aperto -&gt; DA VERIFICARE!
bit 1: sovracorrente relè -&gt; DA VERIFICARE!
bit 2-6: sovracorrente EVx (5 bit) -&gt; DA VERIFICARE!
bit 7: batteria scarica -&gt; DA VERIFICARE!
bit 8: errore motore (aperto) -&gt; DA VERIFICARE!
bit 9-13: EVx aperta (5 bit) -&gt; DA VERIFICARE!
bit 14: temperatura uC elevata -&gt; DA VERIFICARE!
bit 15: temperatura ponte elevata -&gt; DA VERIFICARE!
word 1: warnings:
bit 0: gradino non completamente aperto
bit 1: gradino non completamente chiuso
bit 2: batteria veicolo bassa -&gt; DA VERIFICARE!
bit 3: mancanza BLE (se impostato presente) -&gt; DA VERIFICARE!
bit 4: errore CAN -&gt; DA VERIFICARE!
SOLO 2 WORD NON VA BENE</t>
  </si>
  <si>
    <t>Connessione BLE</t>
  </si>
  <si>
    <t>1E</t>
  </si>
  <si>
    <t>Collaudo</t>
  </si>
  <si>
    <t>0 = funzionamento normale, 1 = collaudo</t>
  </si>
  <si>
    <t>Presenza can2 per collaudo</t>
  </si>
  <si>
    <t>0 = non connesso, 1 = can2 presente</t>
  </si>
  <si>
    <t>Colore in Standby</t>
  </si>
  <si>
    <t>Colore RGB a 24 bit: 0x0RGB</t>
  </si>
  <si>
    <t>Colore in Movimento</t>
  </si>
  <si>
    <t>Collaudo scheda eseguito</t>
  </si>
  <si>
    <t>Collaudo FC Closed</t>
  </si>
  <si>
    <t>Collaudo FC Extended</t>
  </si>
  <si>
    <t>Collaudo Potenzio altezza valore minimo</t>
  </si>
  <si>
    <t>Collaudo Potenzio altezza valore massimo</t>
  </si>
  <si>
    <t>Collaudo Potenzio inclinazione valore minimo</t>
  </si>
  <si>
    <t>Collaudo Potenzio inclinazione valore massimo</t>
  </si>
  <si>
    <t>Collaudo Leva su</t>
  </si>
  <si>
    <t>Collaudo Leva giù</t>
  </si>
  <si>
    <t>Collaudo CAN 1</t>
  </si>
  <si>
    <t>Collaudo CAN 2</t>
  </si>
  <si>
    <t>Collaudo costa</t>
  </si>
  <si>
    <t>2 = passato altrimenti  non passato</t>
  </si>
  <si>
    <t>0 = non passato, 1 = passato</t>
  </si>
  <si>
    <t>Collaudo pompa e valvole</t>
  </si>
  <si>
    <t/>
  </si>
  <si>
    <t>Toplift-A</t>
  </si>
  <si>
    <t>Spark HMI</t>
  </si>
  <si>
    <t>Spark Motore</t>
  </si>
  <si>
    <t>Spark Rostro</t>
  </si>
  <si>
    <t>DIS0020790</t>
  </si>
  <si>
    <t>Gateway</t>
  </si>
  <si>
    <t>Display</t>
  </si>
  <si>
    <t>SPYKE</t>
  </si>
  <si>
    <t>DIS0022401</t>
  </si>
  <si>
    <t>WORD 1: allarmi:
 bit 0: sovracorrente pompa
 bit 1: circuito aperto pompa
 bit 2: sovracorrente EV 1
 bit 3: circuito aperto EV 1
 bit 4: sovracorrente EV 2
 bit 5: circuito aperto EV 2
 bit 6: sovracorrente EV 3
 bit 7: circuito aperto EV 3
 bit 8: sovracorrente EV 4
 bit 9: circuito aperto EV 4
 bit 10: sovracorrente EV 5
 bit 11: circuito aperto EV 5
 bit 12: sovracorrente EV 6
 bit 13: circuito aperto EV 6
 bit 14: sovracorrente EV 7
 bit 15: circuito aperto EV 7
WORD 2: allarmi:
 bit 0: sovracorrente EV 8
 bit 1: circuito aperto EV 8
bit2: low battery
bit3: costa sensibile
bit4: Errore interno routine software
bit5: errore hardware EEPROM esterna
WORD 3: allarmi:
WORD 4: allarmi:
WORD 5: warnings:
WORD 6:
WORD 7:
WORD 8:</t>
  </si>
  <si>
    <r>
      <t xml:space="preserve">Tipo log HH:
</t>
    </r>
    <r>
      <rPr>
        <sz val="8"/>
        <color rgb="FF000000"/>
        <rFont val="Calibri"/>
        <family val="2"/>
      </rPr>
      <t>il tipo è un codice univoco deciso dall'amministratore tramite portale all'atto del configurare il log e viene usato per la decodifica dei dati binari dei record</t>
    </r>
  </si>
  <si>
    <t>Tipo log HL</t>
  </si>
  <si>
    <t>Tipo log LH</t>
  </si>
  <si>
    <t>Tipo log LL</t>
  </si>
  <si>
    <r>
      <t xml:space="preserve">Istanza log:
</t>
    </r>
    <r>
      <rPr>
        <sz val="8"/>
        <color rgb="FF000000"/>
        <rFont val="Calibri"/>
        <family val="2"/>
      </rPr>
      <t>una macchina può gestire più istanze di datalogger</t>
    </r>
  </si>
  <si>
    <t>Tipo trigger</t>
  </si>
  <si>
    <t>Direzione trigger</t>
  </si>
  <si>
    <t>Istanza log</t>
  </si>
  <si>
    <r>
      <t xml:space="preserve">Index HH:
</t>
    </r>
    <r>
      <rPr>
        <sz val="8"/>
        <color rgb="FF000000"/>
        <rFont val="Calibri"/>
        <family val="2"/>
      </rPr>
      <t>l'indice è un codice univoco incrementale nella macchina che viene assegnato ai vari record</t>
    </r>
  </si>
  <si>
    <t>Tipo log HH</t>
  </si>
  <si>
    <t>Modulo</t>
  </si>
  <si>
    <t>Richiesta configurazione attuale log</t>
  </si>
  <si>
    <t>Richiesta configurazione attuale log risposta</t>
  </si>
  <si>
    <t>Richiesta info fat log</t>
  </si>
  <si>
    <t>Richiesta info fat log risposta (log usati, indice primo,etc)</t>
  </si>
  <si>
    <t>Inizia sessione dati per gateway</t>
  </si>
  <si>
    <t>1F</t>
  </si>
  <si>
    <t>Usati HH</t>
  </si>
  <si>
    <t>Usati HL</t>
  </si>
  <si>
    <t>Usati LH</t>
  </si>
  <si>
    <t>Usati LL</t>
  </si>
  <si>
    <t>Primo HH</t>
  </si>
  <si>
    <t>Primo HL</t>
  </si>
  <si>
    <t>Primo LH</t>
  </si>
  <si>
    <t>Primo LL</t>
  </si>
  <si>
    <t>Termina sessione dati per gateway</t>
  </si>
  <si>
    <t>Tastiera1</t>
  </si>
  <si>
    <t>Tastiera2</t>
  </si>
  <si>
    <t>Tastiera3</t>
  </si>
  <si>
    <t>TastieraOld</t>
  </si>
  <si>
    <t>Ultimo HH</t>
  </si>
  <si>
    <t>Ultimo HL</t>
  </si>
  <si>
    <t>Ultimo LH</t>
  </si>
  <si>
    <t>Ultimo LL</t>
  </si>
  <si>
    <r>
      <t xml:space="preserve">Tipo telemetria HH:
</t>
    </r>
    <r>
      <rPr>
        <sz val="8"/>
        <color rgb="FF000000"/>
        <rFont val="Calibri"/>
        <family val="2"/>
      </rPr>
      <t>il tipo è un codice univoco deciso dall'amministratore tramite portale all'atto del configurare la telemetria e viene usato per la decodifica dei dati binari</t>
    </r>
  </si>
  <si>
    <t>Tipo telemetria HL</t>
  </si>
  <si>
    <t>Tipo telemetria LH</t>
  </si>
  <si>
    <t>Tipo telemetria LL</t>
  </si>
  <si>
    <r>
      <t xml:space="preserve">Istanza telemetria:
</t>
    </r>
    <r>
      <rPr>
        <sz val="8"/>
        <color rgb="FF000000"/>
        <rFont val="Calibri"/>
        <family val="2"/>
      </rPr>
      <t>una macchina può gestire più istanze di telemetria</t>
    </r>
  </si>
  <si>
    <t>Istanza telemetria</t>
  </si>
  <si>
    <t>bit 0: PIN IN sensore di tensionamento
bit 1: stato tasto "Keyboard" scarico/giù
bit 2: stato tasto "Keyboard" carico/su
bit 3:
bit 4:
bit 5: stato tasto "Remote Control" scarico/giù
bit 6: stato tasto "Remote Control" carico/su
bit 7: stato feedback "freno motore" (ANALOG IN)</t>
  </si>
  <si>
    <t>bit 0: PIN OUT freno motore
bit 1: stato motore in movimento se 1, motore fermo se 0
bit 2: stato direzione motore carico/su se 1, direzione motore scarico/giù se 0
bit 3: PIN OUT LED rosso "allarme"
bit 4: PIN OUT LED verde "motore in movimento"
bit 5: PIN OUT LED tasto ON/OFF "macchina programmata"
bit 6: stato buzzer acceso se 1, spento se 0</t>
  </si>
  <si>
    <t>Attivazione Fault Costa</t>
  </si>
  <si>
    <t>0 = costa non attiva, 1 = costa attiva</t>
  </si>
  <si>
    <t>TOP -LIFT A2</t>
  </si>
  <si>
    <t>INDIRIZZI SCHEDE A CUI SI APPLICA QUESTO DIZIONARIO</t>
  </si>
  <si>
    <t>Stato keyboard1</t>
  </si>
  <si>
    <t>Stato keyboard2</t>
  </si>
  <si>
    <t>Stato keyboard3</t>
  </si>
  <si>
    <t>TOP-LIFT-A2</t>
  </si>
  <si>
    <t>0x00080381</t>
  </si>
  <si>
    <t>Non usato</t>
  </si>
  <si>
    <t>0x00030141</t>
  </si>
  <si>
    <t>0x00030101</t>
  </si>
  <si>
    <t>0x000803C1</t>
  </si>
  <si>
    <t>0x000803C2</t>
  </si>
  <si>
    <t>0x000803C3</t>
  </si>
  <si>
    <t>Ozonizzatore</t>
  </si>
  <si>
    <t>PSL24-372</t>
  </si>
  <si>
    <t>DIS0016566</t>
  </si>
  <si>
    <t>Stato EVA</t>
  </si>
  <si>
    <t>Stato EVB</t>
  </si>
  <si>
    <t>Stato EVC</t>
  </si>
  <si>
    <t>Stato P2A</t>
  </si>
  <si>
    <t>FC alt. giu'</t>
  </si>
  <si>
    <t>FC alt. su</t>
  </si>
  <si>
    <t>FC inclin. orizz.</t>
  </si>
  <si>
    <t>FC inclin. giu'</t>
  </si>
  <si>
    <t>bit 0: EV1
bit 1: EV2
bit 2: EV3
bit 3: EV4
 bit 4: EV5
bit 5: EV6
bit 6: EV7
bit 7: EV8
bit 8: PUMP
bit 9: LEDB
bit 10: LEDG
bit 11: LEDR</t>
  </si>
  <si>
    <t>0x00090401</t>
  </si>
  <si>
    <t>O3ZTECH</t>
  </si>
  <si>
    <t>Valore fisso:"O3Ztech"</t>
  </si>
  <si>
    <t>WORD 1: allarmi:
 bit 1: errore genrico
 bit 2: fan broken
 bit 3: no comm ozone sensor
 bit 4: locked button
 bit 5: low ozone
 bit 6: high ozone
 bit 7: ozone cell temp low
 bit 8: temperature high
 bit 9: ozone cell temp high
 bit 10: humidity high
 bit 11: power supply high
 bit 12: power supply low
 bit 13: can egicon
 bit 14: can ozone
 bit 15: man inside</t>
  </si>
  <si>
    <t>DATI LOGICI O3ZTECH</t>
  </si>
  <si>
    <t>On</t>
  </si>
  <si>
    <t>Comando on</t>
  </si>
  <si>
    <t>Run</t>
  </si>
  <si>
    <t>Comando run</t>
  </si>
  <si>
    <t>O3 Reference</t>
  </si>
  <si>
    <t>Riferimento di ozono</t>
  </si>
  <si>
    <t>O3 Level</t>
  </si>
  <si>
    <t>Isteresis Positive</t>
  </si>
  <si>
    <t>Isteresis Negative</t>
  </si>
  <si>
    <t>Manual</t>
  </si>
  <si>
    <t>Ore</t>
  </si>
  <si>
    <t>Minuti</t>
  </si>
  <si>
    <t>Secondi</t>
  </si>
  <si>
    <t>Giorno</t>
  </si>
  <si>
    <t>Mese</t>
  </si>
  <si>
    <t>Anno</t>
  </si>
  <si>
    <t>Timer trattamento</t>
  </si>
  <si>
    <t>Tempo trattamento manuale</t>
  </si>
  <si>
    <t>Soglia trattamento manuale</t>
  </si>
  <si>
    <t>Indice Log più vecchio</t>
  </si>
  <si>
    <t>Numero Logs totale</t>
  </si>
  <si>
    <t>Indice ultimo log letto</t>
  </si>
  <si>
    <t>Indice Log corrente</t>
  </si>
  <si>
    <t>Nome utente</t>
  </si>
  <si>
    <t>String[]20]</t>
  </si>
  <si>
    <t>Nome macchina</t>
  </si>
  <si>
    <t>String[]12]</t>
  </si>
  <si>
    <t>Versione firmware Egicon</t>
  </si>
  <si>
    <t>Valore di fine trattamento</t>
  </si>
  <si>
    <t>Tempo di warmup</t>
  </si>
  <si>
    <t>Pir1</t>
  </si>
  <si>
    <t>Pir2</t>
  </si>
  <si>
    <t>Set Boot Bridge</t>
  </si>
  <si>
    <t>W</t>
  </si>
  <si>
    <t>O3Z-TECH</t>
  </si>
  <si>
    <t>Limitazione velocita</t>
  </si>
  <si>
    <t>Valore di limite di velocita' di discesa del piano</t>
  </si>
  <si>
    <t>Potenzio inclinazione orizz.</t>
  </si>
  <si>
    <t>Potenzio inclinazione giu'</t>
  </si>
  <si>
    <t>0 = nessuno
1 =  eden
2 =  r3
3 =  compact el
4 = Piano automatico via can</t>
  </si>
  <si>
    <t>Altezza miima molleggio (angolo)</t>
  </si>
  <si>
    <t>Altezza massima molleggio (angolo)</t>
  </si>
  <si>
    <t>Altezza minima a cui l'Eden scarica quando sta per entrare in molleggio</t>
  </si>
  <si>
    <t>Altezza cui si posiziona l'Eden in molleggio (se è inclinato è l'equivalente orizzontale)</t>
  </si>
  <si>
    <t>bit 0: FC Estratto
bit 1: FC Chiuso
bit 2: Comando UP
bit 3: Comando Down
bit 4: Costa sensibile
bit 5: Comando tastiera testa su
bit 6: Comando tastiera piedi su
bit 7: Comando tastiera vai orizzontale
bit 8: Comando tastiera molleggio
bit 9: Comando tastiera tutto su
bit 10: Comando tastiera tutto giu'
bit 11: Comando tastiera stop</t>
  </si>
  <si>
    <t>Stato keyboard 1</t>
  </si>
  <si>
    <t>Stato keyboard 2</t>
  </si>
  <si>
    <t>Stato keyboard 3</t>
  </si>
  <si>
    <t>Gli Eden di Pina e Medesano hanno machine = 2.</t>
  </si>
  <si>
    <t>0x00030102</t>
  </si>
  <si>
    <t>0x00030103</t>
  </si>
  <si>
    <t>TOP -LIFT-M</t>
  </si>
  <si>
    <t>0x000200C1</t>
  </si>
  <si>
    <t>Angolo lato piedi</t>
  </si>
  <si>
    <t>Angolo di inclinazione calcolato lato piedi</t>
  </si>
  <si>
    <t>Max angolo testa</t>
  </si>
  <si>
    <t>Min angolo testa</t>
  </si>
  <si>
    <t>Max angolo inclinazione</t>
  </si>
  <si>
    <t>Min angolo inclinazione</t>
  </si>
  <si>
    <t>Tolleranza fine corsa alto angolo piedi</t>
  </si>
  <si>
    <t>Tolleranza sullo scatto fine corsa in meno rispetto al massimo angolo lato piedi</t>
  </si>
  <si>
    <t>0x00020101</t>
  </si>
  <si>
    <t>Indirizzamento automatico battezzati</t>
  </si>
  <si>
    <t>ID0_ HH</t>
  </si>
  <si>
    <t>ID0_ H</t>
  </si>
  <si>
    <t>ID0_ L</t>
  </si>
  <si>
    <t>ID0_ LL</t>
  </si>
  <si>
    <t>ID1_ HH</t>
  </si>
  <si>
    <t>ID1_ H</t>
  </si>
  <si>
    <t>ID1_ L</t>
  </si>
  <si>
    <t>ID1_ LL</t>
  </si>
  <si>
    <t>ID2_ HH</t>
  </si>
  <si>
    <t>ID2_ H</t>
  </si>
  <si>
    <t>ID2_ L</t>
  </si>
  <si>
    <t>ID2_ LL</t>
  </si>
  <si>
    <t>SP_Address_ HH</t>
  </si>
  <si>
    <t>SP_Address_ H</t>
  </si>
  <si>
    <t>SP_Address_ LL</t>
  </si>
  <si>
    <t>SP_Address_ L</t>
  </si>
  <si>
    <t>Indirizzamento automatico chi siete</t>
  </si>
  <si>
    <t>IdMachineType</t>
  </si>
  <si>
    <t>IdFWType_H</t>
  </si>
  <si>
    <t>IdFWType_L</t>
  </si>
  <si>
    <t>Indirizzamento automatico chi sono</t>
  </si>
  <si>
    <t>Indirizzamento automatico risultato battezzamento</t>
  </si>
  <si>
    <t>GATEWAY SPYKE</t>
  </si>
  <si>
    <t>0x00010041</t>
  </si>
  <si>
    <t>0x00050201</t>
  </si>
  <si>
    <t>0x000501C1</t>
  </si>
  <si>
    <t>0x00040181</t>
  </si>
  <si>
    <t>HMI SPARK</t>
  </si>
  <si>
    <t>0x000702C1</t>
  </si>
  <si>
    <t>OPTIMUS-XP</t>
  </si>
  <si>
    <t>Firmware Bootloader</t>
  </si>
  <si>
    <t>0x000A0441</t>
  </si>
  <si>
    <t>OPTIMUS XP</t>
  </si>
  <si>
    <t>WORD 1: allarmi:
 bit 0: sovracorrente pompa
 bit 1: circuito aperto pompa
 bit 2: sovracorrente EV 1
 bit 3: circuito aperto EV 1
 bit 4: sovracorrente EV 2
 bit 5: circuito aperto EV 2
WORD 2: allarmi:
bit2: low battery
bit4: Errore interno routine software
bit5: errore hardware EEPROM esterna
WORD 3: allarmi:
WORD 4: allarmi:
WORD 5: warnings:
WORD 6:
WORD 7:
WORD 8:</t>
  </si>
  <si>
    <t>DATI LOGICI OPTIMUS XP</t>
  </si>
  <si>
    <t>Stato ingresso barella</t>
  </si>
  <si>
    <t>Learn Time OK</t>
  </si>
  <si>
    <t>ms</t>
  </si>
  <si>
    <t>Tempo in cui devo rimanere fermo per passare da una fase di apprendimento a un'altra</t>
  </si>
  <si>
    <t>Learn Time Hide Check</t>
  </si>
  <si>
    <t>Tempo in cui mi muovo comunque tra una fase di apprendimento
 e l'altra per funzionare anche con i martinetti più lenti</t>
  </si>
  <si>
    <t>Pompa soglia di corrente per aperto</t>
  </si>
  <si>
    <t>Pompa tempo per aperto</t>
  </si>
  <si>
    <t>Soglia di corrente sotto la quale riconosco pompa aperta</t>
  </si>
  <si>
    <t xml:space="preserve">Tempo con corrente pompa sotto soglia per far scattare il fault </t>
  </si>
  <si>
    <t>Stato ricarica</t>
  </si>
  <si>
    <t>1 = in ricarica</t>
  </si>
  <si>
    <t>Tempo unix</t>
  </si>
  <si>
    <t>Firmware HMI</t>
  </si>
  <si>
    <t>0=100%
1=80%
2=60%
3=40%
4=20%
5=warning
6=alarm</t>
  </si>
  <si>
    <t>Abilitazione programmazione Sherpa</t>
  </si>
  <si>
    <t>Livello batteria soglie</t>
  </si>
  <si>
    <t>temperatura interna al micro in gradi</t>
  </si>
  <si>
    <t>Gateway loading file</t>
  </si>
  <si>
    <t>Gateway loading file size</t>
  </si>
  <si>
    <t>Gateway loading file transfered</t>
  </si>
  <si>
    <t>Gateway firmware version</t>
  </si>
  <si>
    <t>Tempo di ritardo all'accensione</t>
  </si>
  <si>
    <t>Tempo in ms di ritardo all'accensione</t>
  </si>
  <si>
    <t>Posizione tastiera</t>
  </si>
  <si>
    <t>0 = destra (default)
1 =  sinistra</t>
  </si>
  <si>
    <t>Altezza di carico</t>
  </si>
  <si>
    <t>Altezza 1 da chiuso</t>
  </si>
  <si>
    <t>Altezza 2 da chiuso</t>
  </si>
  <si>
    <t>Altezza 3 da chiuso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</si>
</sst>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rgb="FF000000"/>
      <name val="Calibri"/>
      <family val="2"/>
      <charset val="1"/>
    </font>
    <font>
      <b/>
      <sz val="11"/>
      <color rgb="FF000000"/>
      <name val="Calibri"/>
      <family val="2"/>
      <charset val="1"/>
    </font>
    <font>
      <b/>
      <sz val="11"/>
      <color rgb="FFFFC000"/>
      <name val="Calibri"/>
      <family val="2"/>
      <charset val="1"/>
    </font>
    <font>
      <sz val="8"/>
      <color rgb="FF000000"/>
      <name val="Calibri"/>
      <family val="2"/>
      <charset val="1"/>
    </font>
    <font>
      <sz val="8"/>
      <name val="Calibri"/>
      <family val="2"/>
      <charset val="1"/>
    </font>
    <font>
      <sz val="8"/>
      <color rgb="FFFF0000"/>
      <name val="Calibri"/>
      <family val="2"/>
      <charset val="1"/>
    </font>
    <font>
      <sz val="11"/>
      <color rgb="FFFF0000"/>
      <name val="Calibri"/>
      <family val="2"/>
      <charset val="1"/>
    </font>
    <font>
      <sz val="9"/>
      <color rgb="FF000000"/>
      <name val="Calibri"/>
      <family val="2"/>
      <charset val="1"/>
    </font>
    <font>
      <sz val="10"/>
      <color theme="1"/>
      <name val="Consolas"/>
      <family val="3"/>
    </font>
    <font>
      <b/>
      <sz val="11"/>
      <color rgb="FF000000"/>
      <name val="Calibri"/>
      <family val="2"/>
    </font>
    <font>
      <sz val="11"/>
      <color rgb="FF000000"/>
      <name val="Calibri"/>
      <family val="2"/>
    </font>
    <font>
      <b/>
      <sz val="16"/>
      <color rgb="FF000000"/>
      <name val="Calibri"/>
      <family val="2"/>
    </font>
    <font>
      <sz val="11"/>
      <name val="Calibri"/>
      <family val="2"/>
    </font>
    <font>
      <u/>
      <sz val="11"/>
      <color rgb="FF000000"/>
      <name val="Calibri"/>
      <family val="2"/>
      <charset val="1"/>
    </font>
    <font>
      <sz val="11"/>
      <color theme="1"/>
      <name val="Calibri"/>
      <family val="2"/>
      <charset val="1"/>
    </font>
    <font>
      <sz val="8"/>
      <color rgb="FF000000"/>
      <name val="Calibri"/>
      <family val="2"/>
    </font>
  </fonts>
  <fills count="25">
    <fill>
      <patternFill patternType="none"/>
    </fill>
    <fill>
      <patternFill patternType="gray125"/>
    </fill>
    <fill>
      <patternFill patternType="solid">
        <fgColor rgb="FFFF0000"/>
        <bgColor rgb="FF993300"/>
      </patternFill>
    </fill>
    <fill>
      <patternFill patternType="solid">
        <fgColor rgb="FF00B0F0"/>
        <bgColor rgb="FF33CCCC"/>
      </patternFill>
    </fill>
    <fill>
      <patternFill patternType="solid">
        <fgColor rgb="FF92D050"/>
        <bgColor rgb="FFC0C0C0"/>
      </patternFill>
    </fill>
    <fill>
      <patternFill patternType="solid">
        <fgColor rgb="FFEEEEEE"/>
        <bgColor rgb="FFDEEBF7"/>
      </patternFill>
    </fill>
    <fill>
      <patternFill patternType="solid">
        <fgColor rgb="FF00B050"/>
        <bgColor rgb="FF008080"/>
      </patternFill>
    </fill>
    <fill>
      <patternFill patternType="solid">
        <fgColor rgb="FFFFC000"/>
        <bgColor rgb="FFFF9900"/>
      </patternFill>
    </fill>
    <fill>
      <patternFill patternType="solid">
        <fgColor rgb="FFFFFF00"/>
        <bgColor rgb="FFFFFF00"/>
      </patternFill>
    </fill>
    <fill>
      <patternFill patternType="solid">
        <fgColor rgb="FFDEEBF7"/>
        <bgColor rgb="FFEEEEEE"/>
      </patternFill>
    </fill>
    <fill>
      <patternFill patternType="solid">
        <fgColor rgb="FF7030A0"/>
        <bgColor rgb="FF993366"/>
      </patternFill>
    </fill>
    <fill>
      <patternFill patternType="solid">
        <fgColor rgb="FFFFFFFF"/>
        <bgColor rgb="FFEEEEEE"/>
      </patternFill>
    </fill>
    <fill>
      <patternFill patternType="solid">
        <fgColor theme="0"/>
        <bgColor rgb="FFC0C0C0"/>
      </patternFill>
    </fill>
    <fill>
      <patternFill patternType="solid">
        <fgColor rgb="FFFFFF00"/>
        <bgColor indexed="64"/>
      </patternFill>
    </fill>
    <fill>
      <patternFill patternType="solid">
        <fgColor rgb="FFFFFF00"/>
        <bgColor rgb="FFC0C0C0"/>
      </patternFill>
    </fill>
    <fill>
      <patternFill patternType="solid">
        <fgColor theme="2"/>
        <bgColor indexed="64"/>
      </patternFill>
    </fill>
    <fill>
      <patternFill patternType="solid">
        <fgColor theme="0"/>
        <bgColor indexed="64"/>
      </patternFill>
    </fill>
    <fill>
      <patternFill patternType="solid">
        <fgColor rgb="FF92D050"/>
        <bgColor indexed="64"/>
      </patternFill>
    </fill>
    <fill>
      <patternFill patternType="solid">
        <fgColor rgb="FFFFC000"/>
        <bgColor indexed="64"/>
      </patternFill>
    </fill>
    <fill>
      <patternFill patternType="solid">
        <fgColor rgb="FFFFC000"/>
        <bgColor rgb="FFC0C0C0"/>
      </patternFill>
    </fill>
    <fill>
      <patternFill patternType="solid">
        <fgColor theme="5"/>
        <bgColor indexed="64"/>
      </patternFill>
    </fill>
    <fill>
      <patternFill patternType="solid">
        <fgColor rgb="FFFF0000"/>
        <bgColor rgb="FFC0C0C0"/>
      </patternFill>
    </fill>
    <fill>
      <patternFill patternType="solid">
        <fgColor rgb="FFFF0000"/>
        <bgColor indexed="64"/>
      </patternFill>
    </fill>
    <fill>
      <patternFill patternType="solid">
        <fgColor rgb="FF92D050"/>
        <bgColor rgb="FF993300"/>
      </patternFill>
    </fill>
    <fill>
      <patternFill patternType="solid">
        <fgColor theme="0"/>
        <bgColor rgb="FF993366"/>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11">
    <xf numFmtId="0" fontId="0" fillId="0" borderId="0" xfId="0"/>
    <xf numFmtId="0" fontId="0" fillId="0" borderId="0" xfId="0" applyAlignment="1">
      <alignment vertical="center"/>
    </xf>
    <xf numFmtId="0" fontId="1" fillId="4" borderId="1" xfId="0" applyFont="1" applyFill="1" applyBorder="1" applyAlignment="1">
      <alignment horizontal="center" vertical="center"/>
    </xf>
    <xf numFmtId="0" fontId="0" fillId="0" borderId="0" xfId="0"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center" vertical="center"/>
    </xf>
    <xf numFmtId="0" fontId="0" fillId="0" borderId="2" xfId="0" applyBorder="1"/>
    <xf numFmtId="0" fontId="0" fillId="0" borderId="2" xfId="0" applyBorder="1" applyAlignment="1">
      <alignment horizontal="center" vertical="center"/>
    </xf>
    <xf numFmtId="0" fontId="0" fillId="5" borderId="3" xfId="0" applyFill="1" applyBorder="1"/>
    <xf numFmtId="0" fontId="0" fillId="5" borderId="3" xfId="0" applyFill="1" applyBorder="1" applyAlignment="1">
      <alignment horizontal="center" vertical="center"/>
    </xf>
    <xf numFmtId="0" fontId="0" fillId="0" borderId="0" xfId="0" applyAlignment="1">
      <alignment horizontal="center" vertical="center" wrapText="1"/>
    </xf>
    <xf numFmtId="0" fontId="0" fillId="0" borderId="1" xfId="0" applyBorder="1"/>
    <xf numFmtId="0" fontId="0" fillId="0" borderId="1" xfId="0" applyBorder="1" applyAlignment="1">
      <alignment horizontal="center" vertical="center"/>
    </xf>
    <xf numFmtId="0" fontId="0" fillId="0" borderId="4" xfId="0" applyBorder="1"/>
    <xf numFmtId="0" fontId="1" fillId="2"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7" borderId="1" xfId="0" applyFont="1" applyFill="1" applyBorder="1" applyAlignment="1">
      <alignment horizontal="center" vertical="center"/>
    </xf>
    <xf numFmtId="0" fontId="1" fillId="8" borderId="1" xfId="0" applyFont="1" applyFill="1" applyBorder="1" applyAlignment="1">
      <alignment horizontal="center" vertical="center"/>
    </xf>
    <xf numFmtId="0" fontId="0" fillId="9" borderId="1" xfId="0" applyFill="1" applyBorder="1" applyAlignment="1">
      <alignment horizontal="center" vertical="center"/>
    </xf>
    <xf numFmtId="0" fontId="0" fillId="4" borderId="0" xfId="0" applyFill="1" applyAlignment="1">
      <alignment horizontal="center" vertical="center"/>
    </xf>
    <xf numFmtId="3" fontId="0" fillId="0" borderId="0" xfId="0" applyNumberFormat="1" applyAlignment="1">
      <alignment horizontal="center" vertical="center"/>
    </xf>
    <xf numFmtId="0" fontId="0" fillId="4" borderId="0" xfId="0" applyFill="1" applyAlignment="1">
      <alignment vertical="center"/>
    </xf>
    <xf numFmtId="0" fontId="0" fillId="0" borderId="0" xfId="0" applyAlignment="1">
      <alignment horizontal="center" vertical="top" wrapText="1"/>
    </xf>
    <xf numFmtId="0" fontId="0" fillId="4" borderId="0" xfId="0" applyFill="1" applyAlignment="1">
      <alignment horizontal="center" vertical="top" wrapText="1"/>
    </xf>
    <xf numFmtId="0" fontId="3" fillId="0" borderId="0" xfId="0" applyFont="1" applyAlignment="1">
      <alignment horizontal="center" vertical="center" wrapText="1"/>
    </xf>
    <xf numFmtId="0" fontId="0" fillId="2" borderId="0" xfId="0" applyFill="1" applyAlignment="1">
      <alignment horizontal="center" vertical="center"/>
    </xf>
    <xf numFmtId="0" fontId="0" fillId="11" borderId="0" xfId="0" applyFill="1" applyAlignment="1">
      <alignment vertical="center"/>
    </xf>
    <xf numFmtId="0" fontId="0" fillId="0" borderId="0" xfId="0" applyAlignment="1">
      <alignment horizontal="left" vertical="top" wrapText="1"/>
    </xf>
    <xf numFmtId="0" fontId="2" fillId="11" borderId="1" xfId="0" applyFont="1" applyFill="1" applyBorder="1" applyAlignment="1">
      <alignment horizontal="center" vertical="center"/>
    </xf>
    <xf numFmtId="0" fontId="0" fillId="8" borderId="0" xfId="0" applyFill="1" applyAlignment="1">
      <alignment horizontal="center" vertical="center"/>
    </xf>
    <xf numFmtId="0" fontId="0" fillId="0" borderId="0" xfId="0" applyAlignment="1">
      <alignment horizontal="left" vertical="center"/>
    </xf>
    <xf numFmtId="0" fontId="1" fillId="3" borderId="0" xfId="0" applyFont="1" applyFill="1" applyAlignment="1">
      <alignment vertical="center"/>
    </xf>
    <xf numFmtId="0" fontId="1" fillId="3" borderId="0" xfId="0" applyFont="1" applyFill="1" applyAlignment="1">
      <alignment horizontal="left" vertical="center"/>
    </xf>
    <xf numFmtId="0" fontId="1" fillId="0" borderId="0" xfId="0" applyFont="1" applyAlignment="1">
      <alignment vertical="center"/>
    </xf>
    <xf numFmtId="0" fontId="1" fillId="0" borderId="1" xfId="0" applyFont="1" applyBorder="1" applyAlignment="1">
      <alignment horizontal="center" vertical="center"/>
    </xf>
    <xf numFmtId="0" fontId="0" fillId="4" borderId="0" xfId="0" applyFill="1"/>
    <xf numFmtId="0" fontId="8" fillId="0" borderId="0" xfId="0" applyFont="1" applyAlignment="1">
      <alignment horizontal="center" vertical="center" wrapText="1"/>
    </xf>
    <xf numFmtId="0" fontId="0" fillId="12" borderId="0" xfId="0" applyFill="1" applyAlignment="1">
      <alignment vertical="center"/>
    </xf>
    <xf numFmtId="0" fontId="0" fillId="0" borderId="0" xfId="0" applyAlignment="1">
      <alignment vertical="center" wrapText="1"/>
    </xf>
    <xf numFmtId="0" fontId="0" fillId="13" borderId="0" xfId="0" applyFill="1" applyAlignment="1">
      <alignment horizontal="center" vertical="center" wrapText="1"/>
    </xf>
    <xf numFmtId="0" fontId="0" fillId="14" borderId="0" xfId="0" applyFill="1" applyAlignment="1">
      <alignment horizontal="center" vertical="center" wrapText="1"/>
    </xf>
    <xf numFmtId="0" fontId="0" fillId="17" borderId="0" xfId="0" applyFill="1" applyAlignment="1">
      <alignment horizontal="center" vertical="center"/>
    </xf>
    <xf numFmtId="0" fontId="10" fillId="0" borderId="0" xfId="0" applyFont="1" applyAlignment="1">
      <alignment vertical="center" wrapText="1"/>
    </xf>
    <xf numFmtId="0" fontId="2" fillId="10" borderId="5" xfId="0" applyFont="1" applyFill="1" applyBorder="1" applyAlignment="1">
      <alignment horizontal="center" vertical="center"/>
    </xf>
    <xf numFmtId="0" fontId="0" fillId="9" borderId="0" xfId="0" applyFill="1" applyAlignment="1">
      <alignment horizontal="center" vertical="center"/>
    </xf>
    <xf numFmtId="0" fontId="9" fillId="0" borderId="0" xfId="0" applyFont="1" applyAlignment="1">
      <alignment horizontal="center" vertical="top" wrapText="1"/>
    </xf>
    <xf numFmtId="0" fontId="0" fillId="13" borderId="0" xfId="0" applyFill="1" applyAlignment="1">
      <alignment horizontal="center" vertical="center"/>
    </xf>
    <xf numFmtId="0" fontId="0" fillId="18" borderId="0" xfId="0" applyFill="1" applyAlignment="1">
      <alignment horizontal="center" vertical="center"/>
    </xf>
    <xf numFmtId="0" fontId="0" fillId="19" borderId="0" xfId="0" applyFill="1" applyAlignment="1">
      <alignment horizontal="center" vertical="center"/>
    </xf>
    <xf numFmtId="0" fontId="0" fillId="20" borderId="0" xfId="0" applyFill="1" applyAlignment="1">
      <alignment horizontal="center" vertical="center"/>
    </xf>
    <xf numFmtId="0" fontId="0" fillId="0" borderId="0" xfId="0" applyAlignment="1">
      <alignment horizontal="center"/>
    </xf>
    <xf numFmtId="0" fontId="0" fillId="20" borderId="0" xfId="0" applyFill="1" applyAlignment="1">
      <alignment horizontal="center"/>
    </xf>
    <xf numFmtId="0" fontId="0" fillId="18" borderId="0" xfId="0" applyFill="1" applyAlignment="1">
      <alignment horizontal="center"/>
    </xf>
    <xf numFmtId="0" fontId="0" fillId="13" borderId="0" xfId="0" applyFill="1" applyAlignment="1">
      <alignment horizontal="center"/>
    </xf>
    <xf numFmtId="0" fontId="0" fillId="21" borderId="0" xfId="0" applyFill="1" applyAlignment="1">
      <alignment horizontal="center" vertical="center"/>
    </xf>
    <xf numFmtId="0" fontId="0" fillId="16" borderId="1" xfId="0" applyFill="1" applyBorder="1"/>
    <xf numFmtId="0" fontId="0" fillId="5" borderId="4" xfId="0" applyFill="1" applyBorder="1"/>
    <xf numFmtId="0" fontId="0" fillId="5" borderId="4" xfId="0" applyFill="1" applyBorder="1" applyAlignment="1">
      <alignment horizontal="center" vertical="center"/>
    </xf>
    <xf numFmtId="0" fontId="0" fillId="15" borderId="3" xfId="0" applyFill="1" applyBorder="1"/>
    <xf numFmtId="0" fontId="0" fillId="15" borderId="3" xfId="0" applyFill="1" applyBorder="1" applyAlignment="1">
      <alignment horizontal="center" vertical="center"/>
    </xf>
    <xf numFmtId="0" fontId="2" fillId="10" borderId="0" xfId="0" applyFont="1" applyFill="1" applyAlignment="1">
      <alignment horizontal="center" vertical="center"/>
    </xf>
    <xf numFmtId="0" fontId="0" fillId="22" borderId="0" xfId="0" applyFill="1" applyAlignment="1">
      <alignment horizontal="center" vertical="center"/>
    </xf>
    <xf numFmtId="0" fontId="2" fillId="10" borderId="0" xfId="0" applyFont="1" applyFill="1" applyAlignment="1">
      <alignment vertical="center"/>
    </xf>
    <xf numFmtId="0" fontId="2" fillId="10" borderId="6" xfId="0" applyFont="1" applyFill="1" applyBorder="1" applyAlignment="1">
      <alignment vertical="center"/>
    </xf>
    <xf numFmtId="0" fontId="2" fillId="10" borderId="1" xfId="0" applyFont="1" applyFill="1" applyBorder="1" applyAlignment="1">
      <alignment vertical="center"/>
    </xf>
    <xf numFmtId="0" fontId="1" fillId="2" borderId="7" xfId="0" applyFont="1" applyFill="1" applyBorder="1" applyAlignment="1">
      <alignment horizontal="center" vertical="center"/>
    </xf>
    <xf numFmtId="0" fontId="1" fillId="4" borderId="8" xfId="0" applyFont="1" applyFill="1" applyBorder="1" applyAlignment="1">
      <alignment horizontal="center" vertical="center"/>
    </xf>
    <xf numFmtId="0" fontId="1" fillId="6" borderId="8" xfId="0" applyFont="1" applyFill="1" applyBorder="1" applyAlignment="1">
      <alignment horizontal="center" vertical="center"/>
    </xf>
    <xf numFmtId="0" fontId="1" fillId="7" borderId="8" xfId="0" applyFont="1" applyFill="1" applyBorder="1" applyAlignment="1">
      <alignment horizontal="center" vertical="center"/>
    </xf>
    <xf numFmtId="0" fontId="1" fillId="8" borderId="8" xfId="0" applyFont="1" applyFill="1" applyBorder="1" applyAlignment="1">
      <alignment horizontal="center" vertical="center"/>
    </xf>
    <xf numFmtId="0" fontId="0" fillId="9" borderId="8" xfId="0"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vertical="center"/>
    </xf>
    <xf numFmtId="0" fontId="0" fillId="0" borderId="9" xfId="0" applyBorder="1" applyAlignment="1">
      <alignment vertical="center"/>
    </xf>
    <xf numFmtId="0" fontId="0" fillId="0" borderId="0" xfId="0" quotePrefix="1" applyAlignment="1">
      <alignment horizontal="center" vertical="center"/>
    </xf>
    <xf numFmtId="0" fontId="12" fillId="0" borderId="0" xfId="0" applyFont="1" applyAlignment="1">
      <alignment horizontal="center" vertical="center"/>
    </xf>
    <xf numFmtId="0" fontId="12" fillId="0" borderId="0" xfId="0" applyFont="1" applyAlignment="1">
      <alignment vertical="center"/>
    </xf>
    <xf numFmtId="0" fontId="12" fillId="17" borderId="0" xfId="0" applyFont="1" applyFill="1" applyAlignment="1">
      <alignment horizontal="center" vertical="center"/>
    </xf>
    <xf numFmtId="0" fontId="12" fillId="13" borderId="0" xfId="0" applyFont="1" applyFill="1" applyAlignment="1">
      <alignment horizontal="center" vertical="center"/>
    </xf>
    <xf numFmtId="0" fontId="0" fillId="15" borderId="1" xfId="0" applyFill="1" applyBorder="1"/>
    <xf numFmtId="0" fontId="0" fillId="15" borderId="1" xfId="0" applyFill="1" applyBorder="1" applyAlignment="1">
      <alignment horizontal="center" vertical="center"/>
    </xf>
    <xf numFmtId="1" fontId="0" fillId="0" borderId="0" xfId="0" applyNumberFormat="1" applyAlignment="1">
      <alignment horizontal="center" vertical="center"/>
    </xf>
    <xf numFmtId="0" fontId="2" fillId="10" borderId="6" xfId="0" applyFont="1" applyFill="1" applyBorder="1" applyAlignment="1">
      <alignment horizontal="center" vertical="center"/>
    </xf>
    <xf numFmtId="0" fontId="14" fillId="17" borderId="0" xfId="0" applyFont="1" applyFill="1" applyAlignment="1">
      <alignment horizontal="center" vertical="center"/>
    </xf>
    <xf numFmtId="0" fontId="14" fillId="4" borderId="0" xfId="0" applyFont="1" applyFill="1" applyAlignment="1">
      <alignment horizontal="center" vertical="center"/>
    </xf>
    <xf numFmtId="0" fontId="0" fillId="14" borderId="0" xfId="0" applyFill="1" applyAlignment="1">
      <alignment horizontal="center" vertical="center"/>
    </xf>
    <xf numFmtId="0" fontId="0" fillId="23" borderId="0" xfId="0" applyFill="1" applyAlignment="1">
      <alignment horizontal="center" vertical="center"/>
    </xf>
    <xf numFmtId="0" fontId="14" fillId="0" borderId="0" xfId="0" applyFont="1" applyAlignment="1">
      <alignment horizontal="center" vertical="center"/>
    </xf>
    <xf numFmtId="0" fontId="0" fillId="16" borderId="0" xfId="0" applyFill="1"/>
    <xf numFmtId="0" fontId="2" fillId="24" borderId="0" xfId="0" applyFont="1" applyFill="1" applyAlignment="1">
      <alignment horizontal="center" vertical="center"/>
    </xf>
    <xf numFmtId="0" fontId="13" fillId="0" borderId="1" xfId="0" applyFont="1" applyBorder="1"/>
    <xf numFmtId="0" fontId="0" fillId="15" borderId="1" xfId="0" applyFill="1" applyBorder="1" applyAlignment="1">
      <alignment horizontal="left" vertical="center"/>
    </xf>
    <xf numFmtId="0" fontId="0" fillId="15" borderId="1" xfId="0" applyFill="1" applyBorder="1" applyAlignment="1">
      <alignment vertical="center"/>
    </xf>
    <xf numFmtId="0" fontId="0" fillId="5" borderId="3" xfId="0" applyFill="1" applyBorder="1" applyAlignment="1">
      <alignment vertical="center"/>
    </xf>
    <xf numFmtId="0" fontId="0" fillId="16" borderId="1" xfId="0" applyFill="1" applyBorder="1" applyAlignment="1">
      <alignment vertical="center"/>
    </xf>
    <xf numFmtId="3" fontId="0" fillId="0" borderId="0" xfId="0" applyNumberFormat="1" applyAlignment="1">
      <alignment vertical="center"/>
    </xf>
    <xf numFmtId="0" fontId="1" fillId="4" borderId="1" xfId="0" applyFont="1" applyFill="1" applyBorder="1" applyAlignment="1">
      <alignment horizontal="center" vertical="center"/>
    </xf>
    <xf numFmtId="0" fontId="2" fillId="10" borderId="1" xfId="0" applyFont="1" applyFill="1" applyBorder="1" applyAlignment="1">
      <alignment horizontal="center" vertical="center"/>
    </xf>
    <xf numFmtId="0" fontId="11" fillId="0" borderId="0" xfId="0" applyFont="1" applyAlignment="1">
      <alignment horizontal="center" vertical="center" wrapText="1"/>
    </xf>
    <xf numFmtId="0" fontId="11" fillId="0" borderId="0" xfId="0" applyFont="1" applyAlignment="1">
      <alignment horizontal="center" vertical="center"/>
    </xf>
    <xf numFmtId="0" fontId="9" fillId="17" borderId="0" xfId="0" applyFont="1" applyFill="1" applyAlignment="1">
      <alignment horizontal="center" vertical="center"/>
    </xf>
    <xf numFmtId="0" fontId="0" fillId="0" borderId="0" xfId="0" applyAlignment="1">
      <alignment vertical="center"/>
    </xf>
    <xf numFmtId="0" fontId="1" fillId="3" borderId="7" xfId="0" applyFont="1" applyFill="1" applyBorder="1" applyAlignment="1">
      <alignment horizontal="center" vertical="center"/>
    </xf>
    <xf numFmtId="0" fontId="1" fillId="3" borderId="9" xfId="0" applyFont="1" applyFill="1" applyBorder="1" applyAlignment="1">
      <alignment horizontal="center" vertical="center"/>
    </xf>
    <xf numFmtId="0" fontId="2" fillId="10" borderId="7" xfId="0" applyFont="1" applyFill="1" applyBorder="1" applyAlignment="1">
      <alignment horizontal="center" vertical="center"/>
    </xf>
    <xf numFmtId="0" fontId="2" fillId="10" borderId="8" xfId="0" applyFont="1" applyFill="1" applyBorder="1" applyAlignment="1">
      <alignment horizontal="center" vertical="center"/>
    </xf>
    <xf numFmtId="0" fontId="2" fillId="10" borderId="9" xfId="0" applyFont="1" applyFill="1" applyBorder="1" applyAlignment="1">
      <alignment horizontal="center" vertical="center"/>
    </xf>
    <xf numFmtId="0" fontId="2" fillId="10" borderId="5" xfId="0" applyFont="1" applyFill="1" applyBorder="1" applyAlignment="1">
      <alignment horizontal="center" vertical="center"/>
    </xf>
    <xf numFmtId="0" fontId="2" fillId="10" borderId="0" xfId="0" applyFont="1" applyFill="1" applyAlignment="1">
      <alignment horizontal="center" vertical="center"/>
    </xf>
    <xf numFmtId="0" fontId="1" fillId="3" borderId="8" xfId="0" applyFont="1" applyFill="1" applyBorder="1" applyAlignment="1">
      <alignment horizontal="center" vertical="center"/>
    </xf>
    <xf numFmtId="0" fontId="2" fillId="10" borderId="6" xfId="0" applyFont="1" applyFill="1" applyBorder="1" applyAlignment="1">
      <alignment horizontal="center" vertical="center"/>
    </xf>
  </cellXfs>
  <cellStyles count="1">
    <cellStyle name="Normale"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EEEEEE"/>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2D050"/>
      <rgbColor rgb="FFFFC000"/>
      <rgbColor rgb="FFFF9900"/>
      <rgbColor rgb="FFFF6600"/>
      <rgbColor rgb="FF666699"/>
      <rgbColor rgb="FF969696"/>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64"/>
  <sheetViews>
    <sheetView topLeftCell="A45" zoomScale="80" zoomScaleNormal="80" workbookViewId="0">
      <selection activeCell="B66" sqref="B66"/>
    </sheetView>
  </sheetViews>
  <sheetFormatPr defaultColWidth="8.5703125" defaultRowHeight="15" x14ac:dyDescent="0.25"/>
  <cols>
    <col min="1" max="1" width="59.42578125" bestFit="1" customWidth="1"/>
    <col min="2" max="2" width="20.140625" style="3" bestFit="1" customWidth="1"/>
    <col min="3" max="3" width="19.5703125" style="3" bestFit="1" customWidth="1"/>
    <col min="4" max="4" width="97.7109375" style="3" customWidth="1"/>
    <col min="5" max="5" width="31" style="3" customWidth="1"/>
    <col min="6" max="6" width="47.28515625" customWidth="1"/>
    <col min="7" max="7" width="28" customWidth="1"/>
    <col min="8" max="8" width="72" customWidth="1"/>
    <col min="9" max="9" width="31.28515625" customWidth="1"/>
    <col min="10" max="10" width="37" customWidth="1"/>
    <col min="11" max="11" width="28.7109375" customWidth="1"/>
    <col min="12" max="12" width="36" customWidth="1"/>
    <col min="13" max="13" width="46.28515625" customWidth="1"/>
    <col min="14" max="14" width="30.7109375" customWidth="1"/>
    <col min="15" max="15" width="23.7109375" customWidth="1"/>
    <col min="16" max="16" width="22.140625" bestFit="1" customWidth="1"/>
    <col min="17" max="17" width="25.42578125" customWidth="1"/>
    <col min="18" max="18" width="56.7109375" customWidth="1"/>
    <col min="19" max="19" width="27" customWidth="1"/>
    <col min="20" max="20" width="21" customWidth="1"/>
    <col min="21" max="21" width="22.28515625" customWidth="1"/>
    <col min="22" max="22" width="41.42578125" customWidth="1"/>
    <col min="23" max="24" width="34.7109375" customWidth="1"/>
    <col min="25" max="25" width="35.42578125" customWidth="1"/>
    <col min="26" max="26" width="28.7109375" customWidth="1"/>
    <col min="27" max="27" width="25.42578125" customWidth="1"/>
    <col min="28" max="28" width="26.5703125" customWidth="1"/>
    <col min="30" max="30" width="34.5703125" customWidth="1"/>
    <col min="31" max="31" width="28.42578125" customWidth="1"/>
  </cols>
  <sheetData>
    <row r="1" spans="1:18" x14ac:dyDescent="0.25">
      <c r="A1" s="4" t="s">
        <v>0</v>
      </c>
      <c r="B1" s="5" t="s">
        <v>1</v>
      </c>
      <c r="C1" s="5" t="s">
        <v>2</v>
      </c>
      <c r="D1" s="96" t="s">
        <v>3</v>
      </c>
      <c r="E1" s="96"/>
      <c r="F1" s="96"/>
      <c r="G1" s="96"/>
      <c r="H1" s="96"/>
    </row>
    <row r="2" spans="1:18" x14ac:dyDescent="0.25">
      <c r="A2" s="6" t="s">
        <v>4</v>
      </c>
      <c r="B2" s="7">
        <v>0</v>
      </c>
      <c r="C2" s="7">
        <v>0</v>
      </c>
    </row>
    <row r="3" spans="1:18" x14ac:dyDescent="0.25">
      <c r="A3" s="8" t="s">
        <v>5</v>
      </c>
      <c r="B3" s="9">
        <v>80</v>
      </c>
      <c r="C3" s="9">
        <v>0</v>
      </c>
      <c r="D3" s="3" t="s">
        <v>6</v>
      </c>
      <c r="E3" s="3" t="s">
        <v>7</v>
      </c>
    </row>
    <row r="4" spans="1:18" x14ac:dyDescent="0.25">
      <c r="A4" s="6" t="s">
        <v>8</v>
      </c>
      <c r="B4" s="7">
        <v>0</v>
      </c>
      <c r="C4" s="7">
        <v>1</v>
      </c>
      <c r="D4" s="3" t="s">
        <v>9</v>
      </c>
      <c r="E4" s="3" t="s">
        <v>10</v>
      </c>
    </row>
    <row r="5" spans="1:18" x14ac:dyDescent="0.25">
      <c r="A5" s="8" t="s">
        <v>11</v>
      </c>
      <c r="B5" s="9">
        <v>80</v>
      </c>
      <c r="C5" s="9">
        <v>1</v>
      </c>
      <c r="D5" s="3" t="s">
        <v>9</v>
      </c>
      <c r="E5" s="3" t="s">
        <v>10</v>
      </c>
      <c r="F5" s="3" t="s">
        <v>12</v>
      </c>
    </row>
    <row r="6" spans="1:18" x14ac:dyDescent="0.25">
      <c r="A6" s="6" t="s">
        <v>13</v>
      </c>
      <c r="B6" s="7">
        <v>0</v>
      </c>
      <c r="C6" s="7">
        <v>2</v>
      </c>
      <c r="D6" s="3" t="s">
        <v>9</v>
      </c>
      <c r="E6" s="3" t="s">
        <v>10</v>
      </c>
      <c r="F6" s="3" t="s">
        <v>12</v>
      </c>
    </row>
    <row r="7" spans="1:18" x14ac:dyDescent="0.25">
      <c r="A7" s="8" t="s">
        <v>14</v>
      </c>
      <c r="B7" s="9">
        <v>80</v>
      </c>
      <c r="C7" s="9">
        <v>2</v>
      </c>
      <c r="D7" s="3" t="s">
        <v>9</v>
      </c>
      <c r="E7" s="3" t="s">
        <v>10</v>
      </c>
      <c r="F7" s="3"/>
    </row>
    <row r="8" spans="1:18" x14ac:dyDescent="0.25">
      <c r="A8" s="6" t="s">
        <v>15</v>
      </c>
      <c r="B8" s="7">
        <v>0</v>
      </c>
      <c r="C8" s="7">
        <v>3</v>
      </c>
      <c r="D8" s="3" t="s">
        <v>16</v>
      </c>
      <c r="E8" s="3" t="s">
        <v>17</v>
      </c>
      <c r="F8" s="3" t="s">
        <v>18</v>
      </c>
      <c r="G8" s="3" t="s">
        <v>19</v>
      </c>
    </row>
    <row r="9" spans="1:18" x14ac:dyDescent="0.25">
      <c r="A9" s="8" t="s">
        <v>20</v>
      </c>
      <c r="B9" s="9">
        <v>80</v>
      </c>
      <c r="C9" s="9">
        <v>3</v>
      </c>
      <c r="D9" s="3" t="s">
        <v>16</v>
      </c>
      <c r="E9" s="3" t="s">
        <v>17</v>
      </c>
      <c r="F9" s="3" t="s">
        <v>18</v>
      </c>
      <c r="G9" s="3" t="s">
        <v>18</v>
      </c>
      <c r="H9" s="3" t="s">
        <v>21</v>
      </c>
    </row>
    <row r="10" spans="1:18" x14ac:dyDescent="0.25">
      <c r="A10" s="6" t="s">
        <v>22</v>
      </c>
      <c r="B10" s="7">
        <v>0</v>
      </c>
      <c r="C10" s="7">
        <v>4</v>
      </c>
      <c r="D10" s="3" t="s">
        <v>9</v>
      </c>
      <c r="E10" s="3" t="s">
        <v>10</v>
      </c>
      <c r="F10" s="3" t="s">
        <v>23</v>
      </c>
      <c r="G10" s="3" t="s">
        <v>24</v>
      </c>
      <c r="H10" s="3" t="s">
        <v>25</v>
      </c>
    </row>
    <row r="11" spans="1:18" x14ac:dyDescent="0.25">
      <c r="A11" s="8" t="s">
        <v>26</v>
      </c>
      <c r="B11" s="9">
        <v>80</v>
      </c>
      <c r="C11" s="9">
        <v>4</v>
      </c>
      <c r="D11" s="3" t="s">
        <v>9</v>
      </c>
      <c r="E11" s="3" t="s">
        <v>10</v>
      </c>
      <c r="F11" s="3" t="s">
        <v>23</v>
      </c>
      <c r="G11" s="3" t="s">
        <v>24</v>
      </c>
    </row>
    <row r="12" spans="1:18" x14ac:dyDescent="0.25">
      <c r="A12" s="6" t="s">
        <v>27</v>
      </c>
      <c r="B12" s="7">
        <v>0</v>
      </c>
      <c r="C12" s="7">
        <v>5</v>
      </c>
      <c r="F12" s="3"/>
      <c r="G12" s="3"/>
      <c r="H12" s="3"/>
    </row>
    <row r="13" spans="1:18" ht="30" x14ac:dyDescent="0.25">
      <c r="A13" s="93" t="s">
        <v>28</v>
      </c>
      <c r="B13" s="9">
        <v>80</v>
      </c>
      <c r="C13" s="9">
        <v>5</v>
      </c>
      <c r="D13" s="10" t="s">
        <v>29</v>
      </c>
      <c r="F13" s="3"/>
      <c r="G13" s="3"/>
    </row>
    <row r="14" spans="1:18" x14ac:dyDescent="0.25">
      <c r="A14" s="6" t="s">
        <v>30</v>
      </c>
      <c r="B14" s="7">
        <v>0</v>
      </c>
      <c r="C14" s="7">
        <v>6</v>
      </c>
      <c r="F14" s="3"/>
      <c r="G14" s="3"/>
      <c r="H14" s="3"/>
      <c r="I14" s="3"/>
      <c r="J14" s="3"/>
      <c r="K14" s="3"/>
      <c r="L14" s="3"/>
      <c r="M14" s="3"/>
      <c r="N14" s="3"/>
      <c r="O14" s="3"/>
      <c r="P14" s="3"/>
      <c r="Q14" s="3"/>
    </row>
    <row r="15" spans="1:18" ht="30" x14ac:dyDescent="0.25">
      <c r="A15" s="93" t="s">
        <v>31</v>
      </c>
      <c r="B15" s="9">
        <v>80</v>
      </c>
      <c r="C15" s="9">
        <v>6</v>
      </c>
      <c r="D15" s="10" t="s">
        <v>29</v>
      </c>
      <c r="F15" s="3"/>
      <c r="G15" s="3"/>
    </row>
    <row r="16" spans="1:18" x14ac:dyDescent="0.25">
      <c r="A16" s="6" t="s">
        <v>32</v>
      </c>
      <c r="B16" s="7">
        <v>0</v>
      </c>
      <c r="C16" s="7">
        <v>7</v>
      </c>
      <c r="D16" s="3" t="s">
        <v>33</v>
      </c>
      <c r="E16" s="3" t="s">
        <v>34</v>
      </c>
      <c r="F16" s="3" t="s">
        <v>35</v>
      </c>
      <c r="G16" s="3" t="s">
        <v>36</v>
      </c>
      <c r="H16" s="3" t="s">
        <v>37</v>
      </c>
      <c r="I16" s="3" t="s">
        <v>38</v>
      </c>
      <c r="J16" s="3" t="s">
        <v>39</v>
      </c>
      <c r="K16" s="3" t="s">
        <v>40</v>
      </c>
      <c r="L16" s="3" t="s">
        <v>41</v>
      </c>
      <c r="M16" s="3" t="s">
        <v>42</v>
      </c>
      <c r="N16" s="3" t="s">
        <v>43</v>
      </c>
      <c r="O16" s="3" t="s">
        <v>44</v>
      </c>
      <c r="P16" s="3" t="s">
        <v>45</v>
      </c>
      <c r="Q16" s="3" t="s">
        <v>46</v>
      </c>
      <c r="R16" s="3" t="s">
        <v>47</v>
      </c>
    </row>
    <row r="17" spans="1:18" x14ac:dyDescent="0.25">
      <c r="A17" s="8" t="s">
        <v>48</v>
      </c>
      <c r="B17" s="9">
        <v>80</v>
      </c>
      <c r="C17" s="9">
        <v>7</v>
      </c>
      <c r="D17" s="3" t="s">
        <v>33</v>
      </c>
      <c r="E17" s="3" t="s">
        <v>34</v>
      </c>
      <c r="F17" s="3" t="s">
        <v>35</v>
      </c>
      <c r="G17" s="3" t="s">
        <v>36</v>
      </c>
      <c r="H17" s="3" t="s">
        <v>37</v>
      </c>
      <c r="I17" s="3" t="s">
        <v>38</v>
      </c>
      <c r="J17" s="3" t="s">
        <v>39</v>
      </c>
      <c r="K17" s="3" t="s">
        <v>40</v>
      </c>
      <c r="L17" s="3" t="s">
        <v>41</v>
      </c>
      <c r="M17" s="3" t="s">
        <v>42</v>
      </c>
      <c r="N17" s="3" t="s">
        <v>43</v>
      </c>
      <c r="O17" s="3" t="s">
        <v>44</v>
      </c>
      <c r="P17" s="3" t="s">
        <v>45</v>
      </c>
      <c r="Q17" s="3" t="s">
        <v>46</v>
      </c>
      <c r="R17" s="3" t="s">
        <v>49</v>
      </c>
    </row>
    <row r="18" spans="1:18" x14ac:dyDescent="0.25">
      <c r="A18" s="6" t="s">
        <v>50</v>
      </c>
      <c r="B18" s="7">
        <v>0</v>
      </c>
      <c r="C18" s="7">
        <v>8</v>
      </c>
    </row>
    <row r="19" spans="1:18" ht="30" x14ac:dyDescent="0.25">
      <c r="A19" s="93" t="s">
        <v>51</v>
      </c>
      <c r="B19" s="9">
        <v>80</v>
      </c>
      <c r="C19" s="9">
        <v>8</v>
      </c>
      <c r="D19" s="10" t="s">
        <v>29</v>
      </c>
      <c r="F19" s="3"/>
    </row>
    <row r="20" spans="1:18" x14ac:dyDescent="0.25">
      <c r="A20" s="6" t="s">
        <v>52</v>
      </c>
      <c r="B20" s="7">
        <v>0</v>
      </c>
      <c r="C20" s="7">
        <v>9</v>
      </c>
    </row>
    <row r="21" spans="1:18" ht="30" x14ac:dyDescent="0.25">
      <c r="A21" s="93" t="s">
        <v>53</v>
      </c>
      <c r="B21" s="9">
        <v>80</v>
      </c>
      <c r="C21" s="9">
        <v>9</v>
      </c>
      <c r="D21" s="10" t="s">
        <v>29</v>
      </c>
    </row>
    <row r="22" spans="1:18" x14ac:dyDescent="0.25">
      <c r="A22" s="6" t="s">
        <v>54</v>
      </c>
      <c r="B22" s="7">
        <v>0</v>
      </c>
      <c r="C22" s="7" t="s">
        <v>55</v>
      </c>
    </row>
    <row r="23" spans="1:18" x14ac:dyDescent="0.25">
      <c r="A23" s="8" t="s">
        <v>56</v>
      </c>
      <c r="B23" s="9">
        <v>80</v>
      </c>
      <c r="C23" s="9" t="s">
        <v>55</v>
      </c>
    </row>
    <row r="24" spans="1:18" x14ac:dyDescent="0.25">
      <c r="A24" s="11" t="s">
        <v>387</v>
      </c>
      <c r="B24" s="12">
        <v>0</v>
      </c>
      <c r="C24" s="12" t="s">
        <v>57</v>
      </c>
    </row>
    <row r="25" spans="1:18" x14ac:dyDescent="0.25">
      <c r="A25" s="11" t="s">
        <v>388</v>
      </c>
      <c r="B25" s="12">
        <v>0</v>
      </c>
      <c r="C25" s="12" t="s">
        <v>58</v>
      </c>
    </row>
    <row r="26" spans="1:18" ht="30" x14ac:dyDescent="0.25">
      <c r="A26" s="11" t="s">
        <v>59</v>
      </c>
      <c r="B26" s="12">
        <v>0</v>
      </c>
      <c r="C26" s="12" t="s">
        <v>60</v>
      </c>
      <c r="D26" s="10" t="s">
        <v>61</v>
      </c>
      <c r="E26" s="3" t="s">
        <v>62</v>
      </c>
    </row>
    <row r="27" spans="1:18" ht="30" x14ac:dyDescent="0.25">
      <c r="A27" s="11" t="s">
        <v>63</v>
      </c>
      <c r="B27" s="12">
        <v>0</v>
      </c>
      <c r="C27" s="12" t="s">
        <v>64</v>
      </c>
      <c r="D27" s="10" t="s">
        <v>61</v>
      </c>
      <c r="E27" s="3" t="s">
        <v>62</v>
      </c>
    </row>
    <row r="28" spans="1:18" x14ac:dyDescent="0.25">
      <c r="A28" s="6" t="s">
        <v>65</v>
      </c>
      <c r="B28" s="7">
        <v>0</v>
      </c>
      <c r="C28" s="7" t="s">
        <v>66</v>
      </c>
      <c r="D28" s="10"/>
      <c r="E28" s="10"/>
    </row>
    <row r="29" spans="1:18" ht="30" x14ac:dyDescent="0.25">
      <c r="A29" s="93" t="s">
        <v>67</v>
      </c>
      <c r="B29" s="9">
        <v>80</v>
      </c>
      <c r="C29" s="9" t="s">
        <v>66</v>
      </c>
      <c r="D29" s="10" t="s">
        <v>29</v>
      </c>
    </row>
    <row r="30" spans="1:18" ht="30" x14ac:dyDescent="0.25">
      <c r="A30" s="6" t="s">
        <v>68</v>
      </c>
      <c r="B30" s="7">
        <v>0</v>
      </c>
      <c r="C30" s="7">
        <v>10</v>
      </c>
      <c r="D30" s="10" t="s">
        <v>632</v>
      </c>
      <c r="E30" s="10" t="s">
        <v>69</v>
      </c>
    </row>
    <row r="31" spans="1:18" ht="30" x14ac:dyDescent="0.25">
      <c r="A31" s="8" t="s">
        <v>70</v>
      </c>
      <c r="B31" s="9">
        <v>80</v>
      </c>
      <c r="C31" s="9">
        <v>10</v>
      </c>
      <c r="D31" s="10" t="s">
        <v>29</v>
      </c>
    </row>
    <row r="32" spans="1:18" x14ac:dyDescent="0.25">
      <c r="A32" s="13" t="s">
        <v>71</v>
      </c>
      <c r="B32" s="7">
        <v>0</v>
      </c>
      <c r="C32" s="7">
        <v>11</v>
      </c>
    </row>
    <row r="33" spans="1:31" ht="30" x14ac:dyDescent="0.25">
      <c r="A33" s="93" t="s">
        <v>72</v>
      </c>
      <c r="B33" s="9">
        <v>80</v>
      </c>
      <c r="C33" s="9">
        <v>11</v>
      </c>
      <c r="D33" s="10" t="s">
        <v>29</v>
      </c>
    </row>
    <row r="34" spans="1:31" ht="30" x14ac:dyDescent="0.25">
      <c r="A34" s="6" t="s">
        <v>73</v>
      </c>
      <c r="B34" s="7">
        <v>0</v>
      </c>
      <c r="C34" s="7">
        <v>12</v>
      </c>
      <c r="D34" s="10" t="s">
        <v>74</v>
      </c>
      <c r="E34" s="3" t="s">
        <v>75</v>
      </c>
      <c r="F34" s="3" t="s">
        <v>76</v>
      </c>
      <c r="G34" s="3" t="s">
        <v>77</v>
      </c>
      <c r="H34" s="3" t="s">
        <v>78</v>
      </c>
    </row>
    <row r="35" spans="1:31" ht="30" x14ac:dyDescent="0.25">
      <c r="A35" s="56" t="s">
        <v>79</v>
      </c>
      <c r="B35" s="57">
        <v>80</v>
      </c>
      <c r="C35" s="57">
        <v>12</v>
      </c>
      <c r="D35" s="10" t="s">
        <v>631</v>
      </c>
      <c r="F35" s="3"/>
      <c r="G35" s="3"/>
      <c r="H35" s="3"/>
    </row>
    <row r="36" spans="1:31" x14ac:dyDescent="0.25">
      <c r="A36" s="11" t="s">
        <v>389</v>
      </c>
      <c r="B36" s="12">
        <v>0</v>
      </c>
      <c r="C36" s="12">
        <v>13</v>
      </c>
      <c r="D36" s="3" t="s">
        <v>391</v>
      </c>
      <c r="E36" s="3" t="s">
        <v>392</v>
      </c>
      <c r="F36" s="3" t="s">
        <v>393</v>
      </c>
      <c r="G36" s="3" t="s">
        <v>394</v>
      </c>
      <c r="H36" s="3" t="s">
        <v>395</v>
      </c>
      <c r="I36" s="3" t="s">
        <v>396</v>
      </c>
      <c r="J36" s="3" t="s">
        <v>397</v>
      </c>
      <c r="K36" s="3" t="s">
        <v>398</v>
      </c>
      <c r="L36" s="3" t="s">
        <v>399</v>
      </c>
      <c r="M36" s="3" t="s">
        <v>400</v>
      </c>
    </row>
    <row r="37" spans="1:31" x14ac:dyDescent="0.25">
      <c r="A37" s="11" t="s">
        <v>390</v>
      </c>
      <c r="B37" s="12">
        <v>0</v>
      </c>
      <c r="C37" s="12">
        <v>14</v>
      </c>
    </row>
    <row r="38" spans="1:31" ht="37.5" x14ac:dyDescent="0.25">
      <c r="A38" s="6" t="s">
        <v>432</v>
      </c>
      <c r="B38" s="7">
        <v>0</v>
      </c>
      <c r="C38" s="7">
        <v>15</v>
      </c>
      <c r="D38" s="10" t="s">
        <v>769</v>
      </c>
      <c r="E38" s="3" t="s">
        <v>770</v>
      </c>
      <c r="F38" s="3" t="s">
        <v>771</v>
      </c>
      <c r="G38" s="3" t="s">
        <v>772</v>
      </c>
      <c r="H38" s="10" t="s">
        <v>773</v>
      </c>
      <c r="I38" s="3" t="s">
        <v>435</v>
      </c>
      <c r="J38" s="3" t="s">
        <v>436</v>
      </c>
      <c r="K38" s="3" t="s">
        <v>474</v>
      </c>
      <c r="L38" s="3" t="s">
        <v>475</v>
      </c>
      <c r="M38" s="3" t="s">
        <v>433</v>
      </c>
      <c r="N38" s="3" t="s">
        <v>434</v>
      </c>
      <c r="O38" s="3" t="s">
        <v>442</v>
      </c>
      <c r="P38" s="3" t="s">
        <v>443</v>
      </c>
    </row>
    <row r="39" spans="1:31" x14ac:dyDescent="0.25">
      <c r="A39" s="58" t="s">
        <v>438</v>
      </c>
      <c r="B39" s="59">
        <v>80</v>
      </c>
      <c r="C39" s="59">
        <v>15</v>
      </c>
    </row>
    <row r="40" spans="1:31" x14ac:dyDescent="0.25">
      <c r="A40" s="6" t="s">
        <v>437</v>
      </c>
      <c r="B40" s="7">
        <v>0</v>
      </c>
      <c r="C40" s="7">
        <v>16</v>
      </c>
      <c r="D40" s="3" t="s">
        <v>774</v>
      </c>
    </row>
    <row r="41" spans="1:31" x14ac:dyDescent="0.25">
      <c r="A41" s="58" t="s">
        <v>439</v>
      </c>
      <c r="B41" s="59">
        <v>80</v>
      </c>
      <c r="C41" s="59">
        <v>16</v>
      </c>
    </row>
    <row r="42" spans="1:31" x14ac:dyDescent="0.25">
      <c r="A42" s="6" t="s">
        <v>440</v>
      </c>
      <c r="B42" s="7">
        <v>0</v>
      </c>
      <c r="C42" s="7">
        <v>17</v>
      </c>
      <c r="D42" s="3" t="s">
        <v>774</v>
      </c>
    </row>
    <row r="43" spans="1:31" x14ac:dyDescent="0.25">
      <c r="A43" s="58" t="s">
        <v>441</v>
      </c>
      <c r="B43" s="59">
        <v>80</v>
      </c>
      <c r="C43" s="59">
        <v>17</v>
      </c>
    </row>
    <row r="44" spans="1:31" ht="37.5" x14ac:dyDescent="0.25">
      <c r="A44" s="11" t="s">
        <v>449</v>
      </c>
      <c r="B44" s="12">
        <v>0</v>
      </c>
      <c r="C44" s="12">
        <v>18</v>
      </c>
      <c r="D44" s="10" t="s">
        <v>769</v>
      </c>
      <c r="E44" s="3" t="s">
        <v>770</v>
      </c>
      <c r="F44" s="3" t="s">
        <v>771</v>
      </c>
      <c r="G44" s="3" t="s">
        <v>772</v>
      </c>
      <c r="H44" s="3" t="s">
        <v>472</v>
      </c>
      <c r="I44" s="3" t="s">
        <v>473</v>
      </c>
      <c r="J44" s="3" t="s">
        <v>474</v>
      </c>
      <c r="K44" s="3" t="s">
        <v>475</v>
      </c>
      <c r="L44" s="3" t="s">
        <v>448</v>
      </c>
    </row>
    <row r="45" spans="1:31" ht="37.5" x14ac:dyDescent="0.25">
      <c r="A45" s="55" t="s">
        <v>476</v>
      </c>
      <c r="B45" s="12">
        <v>0</v>
      </c>
      <c r="C45" s="12">
        <v>19</v>
      </c>
      <c r="D45" s="10" t="s">
        <v>735</v>
      </c>
      <c r="E45" s="3" t="s">
        <v>736</v>
      </c>
      <c r="F45" s="3" t="s">
        <v>737</v>
      </c>
      <c r="G45" s="3" t="s">
        <v>738</v>
      </c>
      <c r="H45" s="10" t="s">
        <v>739</v>
      </c>
      <c r="I45" s="3" t="s">
        <v>482</v>
      </c>
      <c r="J45" s="3" t="s">
        <v>477</v>
      </c>
      <c r="K45" s="3" t="s">
        <v>478</v>
      </c>
      <c r="L45" s="3" t="s">
        <v>479</v>
      </c>
      <c r="M45" s="3" t="s">
        <v>480</v>
      </c>
      <c r="N45" s="3" t="s">
        <v>481</v>
      </c>
      <c r="O45" s="3" t="s">
        <v>483</v>
      </c>
      <c r="P45" s="3" t="s">
        <v>484</v>
      </c>
      <c r="Q45" s="3" t="s">
        <v>485</v>
      </c>
      <c r="R45" s="3" t="s">
        <v>486</v>
      </c>
      <c r="S45" s="3" t="s">
        <v>740</v>
      </c>
      <c r="T45" s="3" t="s">
        <v>741</v>
      </c>
      <c r="U45" s="3" t="s">
        <v>435</v>
      </c>
      <c r="V45" s="3" t="s">
        <v>436</v>
      </c>
      <c r="W45" s="3" t="s">
        <v>472</v>
      </c>
      <c r="X45" s="3" t="s">
        <v>473</v>
      </c>
      <c r="Y45" s="3" t="s">
        <v>474</v>
      </c>
      <c r="Z45" s="3" t="s">
        <v>475</v>
      </c>
      <c r="AA45" s="3" t="s">
        <v>593</v>
      </c>
      <c r="AB45" s="3" t="s">
        <v>594</v>
      </c>
      <c r="AC45" s="3" t="s">
        <v>592</v>
      </c>
      <c r="AD45" s="3" t="s">
        <v>595</v>
      </c>
      <c r="AE45" s="3" t="s">
        <v>596</v>
      </c>
    </row>
    <row r="46" spans="1:31" x14ac:dyDescent="0.25">
      <c r="A46" s="90" t="s">
        <v>501</v>
      </c>
      <c r="B46" s="12">
        <v>0</v>
      </c>
      <c r="C46" s="12" t="s">
        <v>345</v>
      </c>
      <c r="D46" s="3" t="s">
        <v>742</v>
      </c>
      <c r="F46" s="3"/>
      <c r="G46" s="3"/>
      <c r="H46" s="3"/>
      <c r="I46" s="3"/>
      <c r="J46" s="3"/>
      <c r="K46" s="3"/>
      <c r="L46" s="3"/>
      <c r="M46" s="3"/>
      <c r="N46" s="3"/>
      <c r="O46" s="3"/>
      <c r="P46" s="3"/>
      <c r="Q46" s="3"/>
      <c r="R46" s="3"/>
      <c r="S46" s="3"/>
      <c r="T46" s="3"/>
      <c r="U46" s="3"/>
      <c r="V46" s="3"/>
      <c r="W46" s="3"/>
      <c r="X46" s="3"/>
      <c r="Y46" s="3"/>
      <c r="Z46" s="3"/>
    </row>
    <row r="47" spans="1:31" x14ac:dyDescent="0.25">
      <c r="A47" s="79" t="s">
        <v>502</v>
      </c>
      <c r="B47" s="80">
        <v>80</v>
      </c>
      <c r="C47" s="80" t="s">
        <v>345</v>
      </c>
      <c r="F47" s="3"/>
      <c r="G47" s="3"/>
      <c r="H47" s="3"/>
      <c r="I47" s="3"/>
      <c r="J47" s="3"/>
      <c r="K47" s="3"/>
      <c r="L47" s="3"/>
      <c r="M47" s="3"/>
      <c r="N47" s="3"/>
      <c r="O47" s="3"/>
      <c r="P47" s="3"/>
      <c r="Q47" s="3"/>
      <c r="R47" s="3"/>
      <c r="S47" s="3"/>
      <c r="T47" s="3"/>
      <c r="U47" s="3"/>
      <c r="V47" s="3"/>
      <c r="W47" s="3"/>
      <c r="X47" s="3"/>
      <c r="Y47" s="3"/>
      <c r="Z47" s="3"/>
    </row>
    <row r="48" spans="1:31" x14ac:dyDescent="0.25">
      <c r="A48" s="11" t="s">
        <v>503</v>
      </c>
      <c r="B48" s="12">
        <v>0</v>
      </c>
      <c r="C48" s="12" t="s">
        <v>498</v>
      </c>
      <c r="D48" s="3" t="s">
        <v>742</v>
      </c>
      <c r="F48" s="3"/>
      <c r="G48" s="3"/>
      <c r="H48" s="3"/>
      <c r="I48" s="3"/>
      <c r="J48" s="3"/>
      <c r="K48" s="3"/>
      <c r="L48" s="3"/>
      <c r="M48" s="3"/>
      <c r="N48" s="3"/>
      <c r="O48" s="3"/>
      <c r="P48" s="3"/>
      <c r="Q48" s="3"/>
      <c r="R48" s="3"/>
      <c r="S48" s="3"/>
      <c r="T48" s="3"/>
      <c r="U48" s="3"/>
      <c r="V48" s="3"/>
      <c r="W48" s="3"/>
      <c r="X48" s="3"/>
      <c r="Y48" s="3"/>
      <c r="Z48" s="3"/>
    </row>
    <row r="49" spans="1:31" x14ac:dyDescent="0.25">
      <c r="A49" s="79" t="s">
        <v>504</v>
      </c>
      <c r="B49" s="80">
        <v>80</v>
      </c>
      <c r="C49" s="80" t="s">
        <v>498</v>
      </c>
      <c r="F49" s="3"/>
      <c r="G49" s="3"/>
      <c r="H49" s="3"/>
      <c r="I49" s="3"/>
      <c r="J49" s="3"/>
      <c r="K49" s="3"/>
      <c r="L49" s="3"/>
      <c r="M49" s="3"/>
      <c r="N49" s="3"/>
      <c r="O49" s="3"/>
      <c r="P49" s="3"/>
      <c r="Q49" s="3"/>
      <c r="R49" s="3"/>
      <c r="S49" s="3"/>
      <c r="T49" s="3"/>
      <c r="U49" s="3"/>
      <c r="V49" s="3"/>
      <c r="W49" s="3"/>
      <c r="X49" s="3"/>
      <c r="Y49" s="3"/>
      <c r="Z49" s="3"/>
    </row>
    <row r="50" spans="1:31" ht="26.25" x14ac:dyDescent="0.25">
      <c r="A50" s="11" t="s">
        <v>505</v>
      </c>
      <c r="B50" s="12">
        <v>0</v>
      </c>
      <c r="C50" s="12" t="s">
        <v>499</v>
      </c>
      <c r="D50" s="10" t="s">
        <v>743</v>
      </c>
      <c r="E50" s="3" t="s">
        <v>598</v>
      </c>
      <c r="F50" s="3" t="s">
        <v>599</v>
      </c>
      <c r="G50" s="3" t="s">
        <v>600</v>
      </c>
      <c r="H50" s="3"/>
      <c r="I50" s="3"/>
      <c r="J50" s="3"/>
      <c r="K50" s="3"/>
      <c r="L50" s="3"/>
      <c r="M50" s="3"/>
      <c r="N50" s="3"/>
      <c r="O50" s="3"/>
      <c r="P50" s="3"/>
      <c r="Q50" s="3"/>
      <c r="R50" s="3"/>
      <c r="S50" s="3"/>
      <c r="T50" s="3"/>
      <c r="U50" s="3"/>
      <c r="V50" s="3"/>
      <c r="W50" s="3"/>
      <c r="X50" s="3"/>
      <c r="Y50" s="3"/>
      <c r="Z50" s="3"/>
    </row>
    <row r="51" spans="1:31" x14ac:dyDescent="0.25">
      <c r="A51" s="79" t="s">
        <v>506</v>
      </c>
      <c r="B51" s="80">
        <v>80</v>
      </c>
      <c r="C51" s="80" t="s">
        <v>499</v>
      </c>
      <c r="D51" s="3" t="s">
        <v>597</v>
      </c>
      <c r="E51" s="3" t="s">
        <v>598</v>
      </c>
      <c r="F51" s="3" t="s">
        <v>599</v>
      </c>
      <c r="G51" s="3" t="s">
        <v>600</v>
      </c>
      <c r="H51" s="3" t="s">
        <v>744</v>
      </c>
      <c r="I51" s="3" t="s">
        <v>736</v>
      </c>
      <c r="J51" s="3" t="s">
        <v>737</v>
      </c>
      <c r="K51" s="3" t="s">
        <v>738</v>
      </c>
      <c r="L51" s="3" t="s">
        <v>444</v>
      </c>
      <c r="M51" s="3" t="s">
        <v>445</v>
      </c>
      <c r="N51" s="3" t="s">
        <v>446</v>
      </c>
      <c r="O51" s="3" t="s">
        <v>447</v>
      </c>
      <c r="P51" s="3" t="s">
        <v>448</v>
      </c>
    </row>
    <row r="52" spans="1:31" x14ac:dyDescent="0.25">
      <c r="A52" s="55" t="s">
        <v>530</v>
      </c>
      <c r="B52" s="12">
        <v>0</v>
      </c>
      <c r="C52" s="12" t="s">
        <v>500</v>
      </c>
    </row>
    <row r="53" spans="1:31" ht="30" x14ac:dyDescent="0.25">
      <c r="A53" s="92" t="s">
        <v>531</v>
      </c>
      <c r="B53" s="80">
        <v>80</v>
      </c>
      <c r="C53" s="80" t="s">
        <v>500</v>
      </c>
      <c r="D53" s="10" t="s">
        <v>532</v>
      </c>
      <c r="E53" s="3" t="s">
        <v>533</v>
      </c>
    </row>
    <row r="54" spans="1:31" x14ac:dyDescent="0.25">
      <c r="A54" s="55" t="s">
        <v>700</v>
      </c>
      <c r="B54" s="12">
        <v>0</v>
      </c>
      <c r="C54" s="12" t="s">
        <v>701</v>
      </c>
    </row>
    <row r="55" spans="1:31" x14ac:dyDescent="0.25">
      <c r="A55" s="55" t="s">
        <v>746</v>
      </c>
      <c r="B55" s="12">
        <v>0</v>
      </c>
      <c r="C55" s="12" t="s">
        <v>751</v>
      </c>
      <c r="D55" s="3" t="s">
        <v>742</v>
      </c>
    </row>
    <row r="56" spans="1:31" ht="37.5" x14ac:dyDescent="0.25">
      <c r="A56" s="91" t="s">
        <v>747</v>
      </c>
      <c r="B56" s="80">
        <v>80</v>
      </c>
      <c r="C56" s="80" t="s">
        <v>751</v>
      </c>
      <c r="D56" s="10" t="s">
        <v>735</v>
      </c>
      <c r="E56" s="3" t="s">
        <v>736</v>
      </c>
      <c r="F56" s="3" t="s">
        <v>737</v>
      </c>
      <c r="G56" s="3" t="s">
        <v>738</v>
      </c>
      <c r="H56" s="10" t="s">
        <v>739</v>
      </c>
      <c r="I56" s="3" t="s">
        <v>482</v>
      </c>
      <c r="J56" s="3" t="s">
        <v>477</v>
      </c>
      <c r="K56" s="3" t="s">
        <v>478</v>
      </c>
      <c r="L56" s="3" t="s">
        <v>479</v>
      </c>
      <c r="M56" s="3" t="s">
        <v>480</v>
      </c>
      <c r="N56" s="3" t="s">
        <v>481</v>
      </c>
      <c r="O56" s="3" t="s">
        <v>483</v>
      </c>
      <c r="P56" s="3" t="s">
        <v>484</v>
      </c>
      <c r="Q56" s="3" t="s">
        <v>485</v>
      </c>
      <c r="R56" s="3" t="s">
        <v>486</v>
      </c>
      <c r="S56" s="3" t="s">
        <v>740</v>
      </c>
      <c r="T56" s="3" t="s">
        <v>741</v>
      </c>
      <c r="U56" s="3" t="s">
        <v>435</v>
      </c>
      <c r="V56" s="3" t="s">
        <v>436</v>
      </c>
      <c r="W56" s="3" t="s">
        <v>472</v>
      </c>
      <c r="X56" s="3" t="s">
        <v>473</v>
      </c>
      <c r="Y56" s="3" t="s">
        <v>474</v>
      </c>
      <c r="Z56" s="3" t="s">
        <v>475</v>
      </c>
      <c r="AA56" s="3" t="s">
        <v>593</v>
      </c>
      <c r="AB56" s="3" t="s">
        <v>594</v>
      </c>
      <c r="AC56" s="3" t="s">
        <v>592</v>
      </c>
      <c r="AD56" s="3" t="s">
        <v>595</v>
      </c>
      <c r="AE56" s="3" t="s">
        <v>596</v>
      </c>
    </row>
    <row r="57" spans="1:31" x14ac:dyDescent="0.25">
      <c r="A57" s="55" t="s">
        <v>748</v>
      </c>
      <c r="B57" s="12">
        <v>0</v>
      </c>
      <c r="C57" s="12">
        <v>20</v>
      </c>
      <c r="D57" s="3" t="s">
        <v>742</v>
      </c>
    </row>
    <row r="58" spans="1:31" x14ac:dyDescent="0.25">
      <c r="A58" s="79" t="s">
        <v>749</v>
      </c>
      <c r="B58" s="80">
        <v>80</v>
      </c>
      <c r="C58" s="80">
        <v>20</v>
      </c>
      <c r="D58" s="3" t="s">
        <v>752</v>
      </c>
      <c r="E58" s="3" t="s">
        <v>753</v>
      </c>
      <c r="F58" s="3" t="s">
        <v>754</v>
      </c>
      <c r="G58" s="3" t="s">
        <v>755</v>
      </c>
      <c r="H58" s="3" t="s">
        <v>756</v>
      </c>
      <c r="I58" s="3" t="s">
        <v>757</v>
      </c>
      <c r="J58" s="3" t="s">
        <v>758</v>
      </c>
      <c r="K58" s="3" t="s">
        <v>759</v>
      </c>
      <c r="L58" s="3" t="s">
        <v>765</v>
      </c>
      <c r="M58" s="3" t="s">
        <v>766</v>
      </c>
      <c r="N58" s="3" t="s">
        <v>767</v>
      </c>
      <c r="O58" s="3" t="s">
        <v>768</v>
      </c>
    </row>
    <row r="59" spans="1:31" x14ac:dyDescent="0.25">
      <c r="A59" s="55" t="s">
        <v>750</v>
      </c>
      <c r="B59" s="12">
        <v>0</v>
      </c>
      <c r="C59" s="12">
        <v>21</v>
      </c>
    </row>
    <row r="60" spans="1:31" x14ac:dyDescent="0.25">
      <c r="A60" s="55" t="s">
        <v>760</v>
      </c>
      <c r="B60" s="12">
        <v>0</v>
      </c>
      <c r="C60" s="12">
        <v>22</v>
      </c>
    </row>
    <row r="61" spans="1:31" x14ac:dyDescent="0.25">
      <c r="A61" s="55" t="s">
        <v>888</v>
      </c>
      <c r="B61" s="12">
        <v>0</v>
      </c>
      <c r="C61" s="12">
        <v>23</v>
      </c>
      <c r="D61" s="3" t="s">
        <v>889</v>
      </c>
      <c r="E61" s="3" t="s">
        <v>890</v>
      </c>
      <c r="F61" s="3" t="s">
        <v>891</v>
      </c>
    </row>
    <row r="62" spans="1:31" x14ac:dyDescent="0.25">
      <c r="A62" s="55" t="s">
        <v>892</v>
      </c>
      <c r="B62" s="12">
        <v>0</v>
      </c>
      <c r="C62" s="12">
        <v>24</v>
      </c>
      <c r="D62" s="3" t="s">
        <v>872</v>
      </c>
      <c r="E62" s="3" t="s">
        <v>873</v>
      </c>
      <c r="F62" s="3" t="s">
        <v>874</v>
      </c>
      <c r="G62" s="3" t="s">
        <v>875</v>
      </c>
      <c r="H62" s="3" t="s">
        <v>876</v>
      </c>
      <c r="I62" s="3" t="s">
        <v>877</v>
      </c>
      <c r="J62" s="3" t="s">
        <v>878</v>
      </c>
      <c r="K62" s="3" t="s">
        <v>879</v>
      </c>
      <c r="L62" s="3" t="s">
        <v>880</v>
      </c>
      <c r="M62" s="3" t="s">
        <v>881</v>
      </c>
      <c r="N62" s="3" t="s">
        <v>882</v>
      </c>
      <c r="O62" s="3" t="s">
        <v>883</v>
      </c>
    </row>
    <row r="63" spans="1:31" x14ac:dyDescent="0.25">
      <c r="A63" s="55" t="s">
        <v>871</v>
      </c>
      <c r="B63" s="12">
        <v>0</v>
      </c>
      <c r="C63" s="12">
        <v>25</v>
      </c>
      <c r="D63" s="3" t="s">
        <v>872</v>
      </c>
      <c r="E63" s="3" t="s">
        <v>873</v>
      </c>
      <c r="F63" s="3" t="s">
        <v>874</v>
      </c>
      <c r="G63" s="3" t="s">
        <v>875</v>
      </c>
      <c r="H63" s="3" t="s">
        <v>876</v>
      </c>
      <c r="I63" s="3" t="s">
        <v>877</v>
      </c>
      <c r="J63" s="3" t="s">
        <v>878</v>
      </c>
      <c r="K63" s="3" t="s">
        <v>879</v>
      </c>
      <c r="L63" s="3" t="s">
        <v>880</v>
      </c>
      <c r="M63" s="3" t="s">
        <v>881</v>
      </c>
      <c r="N63" s="3" t="s">
        <v>882</v>
      </c>
      <c r="O63" s="3" t="s">
        <v>883</v>
      </c>
      <c r="P63" s="3" t="s">
        <v>884</v>
      </c>
      <c r="Q63" s="3" t="s">
        <v>885</v>
      </c>
      <c r="R63" s="3" t="s">
        <v>886</v>
      </c>
      <c r="S63" s="3" t="s">
        <v>887</v>
      </c>
    </row>
    <row r="64" spans="1:31" ht="45" x14ac:dyDescent="0.25">
      <c r="A64" s="94" t="s">
        <v>893</v>
      </c>
      <c r="B64" s="12">
        <v>0</v>
      </c>
      <c r="C64" s="12">
        <v>26</v>
      </c>
      <c r="D64" s="3" t="s">
        <v>872</v>
      </c>
      <c r="E64" s="3" t="s">
        <v>873</v>
      </c>
      <c r="F64" s="3" t="s">
        <v>874</v>
      </c>
      <c r="G64" s="3" t="s">
        <v>875</v>
      </c>
      <c r="H64" s="3" t="s">
        <v>876</v>
      </c>
      <c r="I64" s="3" t="s">
        <v>877</v>
      </c>
      <c r="J64" s="3" t="s">
        <v>878</v>
      </c>
      <c r="K64" s="3" t="s">
        <v>879</v>
      </c>
      <c r="L64" s="3" t="s">
        <v>880</v>
      </c>
      <c r="M64" s="3" t="s">
        <v>881</v>
      </c>
      <c r="N64" s="3" t="s">
        <v>882</v>
      </c>
      <c r="O64" s="3" t="s">
        <v>883</v>
      </c>
      <c r="P64" s="10" t="s">
        <v>29</v>
      </c>
    </row>
  </sheetData>
  <mergeCells count="1">
    <mergeCell ref="D1:H1"/>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669B8-5105-4CE4-8DB7-D26C6CD91A4A}">
  <dimension ref="B3:AC7"/>
  <sheetViews>
    <sheetView workbookViewId="0">
      <selection activeCell="M7" sqref="M7"/>
    </sheetView>
  </sheetViews>
  <sheetFormatPr defaultRowHeight="15" x14ac:dyDescent="0.25"/>
  <sheetData>
    <row r="3" spans="2:29" x14ac:dyDescent="0.25">
      <c r="B3">
        <v>17</v>
      </c>
      <c r="C3" t="s">
        <v>401</v>
      </c>
      <c r="D3" t="s">
        <v>402</v>
      </c>
      <c r="E3" t="s">
        <v>403</v>
      </c>
      <c r="F3" t="s">
        <v>404</v>
      </c>
      <c r="G3" t="s">
        <v>405</v>
      </c>
      <c r="H3" t="s">
        <v>402</v>
      </c>
      <c r="I3" t="s">
        <v>402</v>
      </c>
      <c r="J3" t="s">
        <v>402</v>
      </c>
      <c r="K3" t="s">
        <v>406</v>
      </c>
      <c r="L3" t="s">
        <v>407</v>
      </c>
      <c r="M3" t="s">
        <v>408</v>
      </c>
      <c r="N3" t="s">
        <v>402</v>
      </c>
      <c r="O3" t="s">
        <v>404</v>
      </c>
      <c r="P3" t="s">
        <v>402</v>
      </c>
      <c r="Q3" t="s">
        <v>409</v>
      </c>
      <c r="R3" t="s">
        <v>410</v>
      </c>
      <c r="S3" t="s">
        <v>411</v>
      </c>
    </row>
    <row r="4" spans="2:29" x14ac:dyDescent="0.25">
      <c r="B4">
        <v>17</v>
      </c>
      <c r="C4" t="s">
        <v>401</v>
      </c>
      <c r="D4" t="s">
        <v>402</v>
      </c>
      <c r="E4" t="s">
        <v>403</v>
      </c>
      <c r="F4" t="s">
        <v>404</v>
      </c>
      <c r="G4" t="s">
        <v>405</v>
      </c>
      <c r="H4" t="s">
        <v>402</v>
      </c>
      <c r="I4" t="s">
        <v>402</v>
      </c>
      <c r="J4" t="s">
        <v>402</v>
      </c>
      <c r="K4" t="s">
        <v>406</v>
      </c>
      <c r="L4" t="s">
        <v>407</v>
      </c>
      <c r="M4" t="s">
        <v>408</v>
      </c>
      <c r="N4" t="s">
        <v>402</v>
      </c>
      <c r="O4" t="s">
        <v>404</v>
      </c>
      <c r="P4" t="s">
        <v>402</v>
      </c>
      <c r="Q4" t="s">
        <v>412</v>
      </c>
      <c r="R4" t="s">
        <v>413</v>
      </c>
      <c r="S4" t="s">
        <v>414</v>
      </c>
    </row>
    <row r="5" spans="2:29" x14ac:dyDescent="0.25">
      <c r="B5">
        <v>17</v>
      </c>
      <c r="C5" t="s">
        <v>401</v>
      </c>
      <c r="D5" t="s">
        <v>402</v>
      </c>
      <c r="E5" t="s">
        <v>403</v>
      </c>
      <c r="F5" t="s">
        <v>404</v>
      </c>
      <c r="G5" t="s">
        <v>405</v>
      </c>
      <c r="H5" t="s">
        <v>402</v>
      </c>
      <c r="I5" t="s">
        <v>402</v>
      </c>
      <c r="J5" t="s">
        <v>402</v>
      </c>
      <c r="K5" t="s">
        <v>406</v>
      </c>
      <c r="L5" t="s">
        <v>407</v>
      </c>
      <c r="M5" t="s">
        <v>408</v>
      </c>
      <c r="N5" t="s">
        <v>402</v>
      </c>
      <c r="O5" t="s">
        <v>404</v>
      </c>
      <c r="P5" t="s">
        <v>402</v>
      </c>
      <c r="Q5" t="s">
        <v>415</v>
      </c>
      <c r="R5" t="s">
        <v>416</v>
      </c>
      <c r="S5" t="s">
        <v>414</v>
      </c>
    </row>
    <row r="6" spans="2:29" x14ac:dyDescent="0.25">
      <c r="B6">
        <v>27</v>
      </c>
      <c r="C6" t="s">
        <v>425</v>
      </c>
      <c r="D6" t="s">
        <v>402</v>
      </c>
      <c r="E6" t="s">
        <v>403</v>
      </c>
      <c r="F6" t="s">
        <v>404</v>
      </c>
      <c r="G6" t="s">
        <v>405</v>
      </c>
      <c r="H6" t="s">
        <v>402</v>
      </c>
      <c r="I6" t="s">
        <v>402</v>
      </c>
      <c r="J6" t="s">
        <v>402</v>
      </c>
      <c r="K6" t="s">
        <v>406</v>
      </c>
      <c r="L6" t="s">
        <v>407</v>
      </c>
      <c r="M6" t="s">
        <v>408</v>
      </c>
      <c r="N6" t="s">
        <v>402</v>
      </c>
      <c r="O6" t="s">
        <v>412</v>
      </c>
      <c r="P6" t="s">
        <v>402</v>
      </c>
      <c r="Q6" t="s">
        <v>417</v>
      </c>
      <c r="R6" t="s">
        <v>418</v>
      </c>
      <c r="S6" t="s">
        <v>419</v>
      </c>
      <c r="T6" t="s">
        <v>420</v>
      </c>
      <c r="U6" t="s">
        <v>421</v>
      </c>
      <c r="V6" t="s">
        <v>422</v>
      </c>
      <c r="W6" t="s">
        <v>423</v>
      </c>
      <c r="X6" t="s">
        <v>402</v>
      </c>
      <c r="Y6" t="s">
        <v>424</v>
      </c>
      <c r="Z6" t="s">
        <v>424</v>
      </c>
      <c r="AA6" t="s">
        <v>424</v>
      </c>
      <c r="AB6" t="s">
        <v>424</v>
      </c>
      <c r="AC6" t="s">
        <v>424</v>
      </c>
    </row>
    <row r="7" spans="2:29" x14ac:dyDescent="0.25">
      <c r="B7">
        <v>17</v>
      </c>
      <c r="C7" t="s">
        <v>401</v>
      </c>
      <c r="D7" t="s">
        <v>402</v>
      </c>
      <c r="E7" t="s">
        <v>403</v>
      </c>
      <c r="F7" t="s">
        <v>404</v>
      </c>
      <c r="G7" t="s">
        <v>405</v>
      </c>
      <c r="H7" t="s">
        <v>402</v>
      </c>
      <c r="I7" t="s">
        <v>402</v>
      </c>
      <c r="J7" t="s">
        <v>402</v>
      </c>
      <c r="K7" t="s">
        <v>406</v>
      </c>
      <c r="L7" t="s">
        <v>404</v>
      </c>
      <c r="M7" t="s">
        <v>407</v>
      </c>
      <c r="N7" t="s">
        <v>402</v>
      </c>
      <c r="O7" t="s">
        <v>404</v>
      </c>
      <c r="P7" t="s">
        <v>402</v>
      </c>
      <c r="Q7" t="s">
        <v>534</v>
      </c>
      <c r="R7" t="s">
        <v>535</v>
      </c>
      <c r="S7" t="s">
        <v>536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P28"/>
  <sheetViews>
    <sheetView zoomScale="82" zoomScaleNormal="80" workbookViewId="0">
      <pane xSplit="1" ySplit="2" topLeftCell="B14" activePane="bottomRight" state="frozen"/>
      <selection pane="topRight" activeCell="B1" sqref="B1"/>
      <selection pane="bottomLeft" activeCell="A3" sqref="A3"/>
      <selection pane="bottomRight" activeCell="D26" sqref="D26"/>
    </sheetView>
  </sheetViews>
  <sheetFormatPr defaultColWidth="9.28515625" defaultRowHeight="15" x14ac:dyDescent="0.25"/>
  <cols>
    <col min="1" max="1" width="35.7109375" style="3" customWidth="1"/>
    <col min="2" max="2" width="19" style="3" customWidth="1"/>
    <col min="3" max="3" width="17.28515625" style="3" bestFit="1" customWidth="1"/>
    <col min="4" max="4" width="35.28515625" style="3" bestFit="1" customWidth="1"/>
    <col min="5" max="5" width="16" style="3" customWidth="1"/>
    <col min="6" max="6" width="8.7109375" style="3" customWidth="1"/>
    <col min="7" max="7" width="18.5703125" style="3" customWidth="1"/>
    <col min="8" max="8" width="17.5703125" style="3" customWidth="1"/>
    <col min="9" max="9" width="5.28515625" style="3" bestFit="1" customWidth="1"/>
    <col min="10" max="10" width="49.28515625" style="3" bestFit="1" customWidth="1"/>
    <col min="11" max="12" width="54.28515625" style="3" bestFit="1" customWidth="1"/>
    <col min="13" max="13" width="54.28515625" style="3" customWidth="1"/>
    <col min="14" max="17" width="22.42578125" style="1" customWidth="1"/>
    <col min="18" max="18" width="20.7109375" style="1" customWidth="1"/>
    <col min="19" max="1030" width="9.28515625" style="3"/>
  </cols>
  <sheetData>
    <row r="1" spans="1:18" x14ac:dyDescent="0.25">
      <c r="A1" s="14" t="s">
        <v>80</v>
      </c>
      <c r="B1" s="5" t="s">
        <v>81</v>
      </c>
      <c r="C1" s="5" t="s">
        <v>82</v>
      </c>
      <c r="D1" s="2" t="s">
        <v>83</v>
      </c>
      <c r="E1" s="15" t="s">
        <v>84</v>
      </c>
      <c r="F1" s="16" t="s">
        <v>85</v>
      </c>
      <c r="G1" s="16" t="s">
        <v>86</v>
      </c>
      <c r="H1" s="17" t="s">
        <v>87</v>
      </c>
      <c r="I1" s="18" t="s">
        <v>88</v>
      </c>
      <c r="N1" s="1" t="s">
        <v>351</v>
      </c>
      <c r="O1" s="1" t="s">
        <v>357</v>
      </c>
      <c r="P1" s="1" t="s">
        <v>352</v>
      </c>
      <c r="Q1" s="1" t="s">
        <v>355</v>
      </c>
    </row>
    <row r="2" spans="1:18" x14ac:dyDescent="0.25">
      <c r="A2" s="97" t="s">
        <v>89</v>
      </c>
      <c r="B2" s="97"/>
      <c r="C2" s="97"/>
      <c r="D2" s="97"/>
      <c r="E2" s="97"/>
      <c r="F2" s="97"/>
      <c r="G2" s="97"/>
      <c r="H2" s="97"/>
      <c r="I2" s="97"/>
      <c r="J2" s="3" t="s">
        <v>90</v>
      </c>
      <c r="K2" s="3" t="s">
        <v>91</v>
      </c>
      <c r="L2" s="3" t="s">
        <v>308</v>
      </c>
      <c r="M2" s="3" t="s">
        <v>223</v>
      </c>
      <c r="N2" s="3"/>
      <c r="O2" s="3"/>
      <c r="P2" s="3"/>
      <c r="Q2" s="3"/>
      <c r="R2" s="3" t="s">
        <v>346</v>
      </c>
    </row>
    <row r="3" spans="1:18" ht="30" x14ac:dyDescent="0.25">
      <c r="A3" s="19" t="s">
        <v>92</v>
      </c>
      <c r="B3" s="3">
        <v>0</v>
      </c>
      <c r="C3" s="3">
        <v>0</v>
      </c>
      <c r="D3" s="3" t="s">
        <v>93</v>
      </c>
      <c r="E3" s="74" t="s">
        <v>523</v>
      </c>
      <c r="F3" s="3">
        <v>0</v>
      </c>
      <c r="G3" s="74" t="s">
        <v>523</v>
      </c>
      <c r="I3" s="3" t="s">
        <v>94</v>
      </c>
      <c r="K3" s="19"/>
      <c r="N3" s="38" t="s">
        <v>370</v>
      </c>
      <c r="O3" s="38" t="s">
        <v>375</v>
      </c>
      <c r="P3" s="38" t="s">
        <v>376</v>
      </c>
      <c r="Q3" s="1" t="s">
        <v>356</v>
      </c>
      <c r="R3" s="21" t="s">
        <v>95</v>
      </c>
    </row>
    <row r="4" spans="1:18" x14ac:dyDescent="0.25">
      <c r="A4" s="19" t="s">
        <v>96</v>
      </c>
      <c r="B4" s="3">
        <v>0</v>
      </c>
      <c r="C4" s="3">
        <v>1</v>
      </c>
      <c r="D4" s="3" t="s">
        <v>93</v>
      </c>
      <c r="E4" s="74" t="s">
        <v>523</v>
      </c>
      <c r="F4" s="3">
        <v>0</v>
      </c>
      <c r="G4" s="74" t="s">
        <v>523</v>
      </c>
      <c r="I4" s="3" t="s">
        <v>94</v>
      </c>
      <c r="K4" s="19"/>
      <c r="N4" s="1" t="s">
        <v>117</v>
      </c>
      <c r="O4" s="1" t="s">
        <v>372</v>
      </c>
      <c r="P4" s="1" t="s">
        <v>371</v>
      </c>
      <c r="Q4" s="1" t="s">
        <v>356</v>
      </c>
      <c r="R4" s="21" t="s">
        <v>95</v>
      </c>
    </row>
    <row r="5" spans="1:18" ht="30" x14ac:dyDescent="0.25">
      <c r="A5" s="19" t="s">
        <v>97</v>
      </c>
      <c r="B5" s="3">
        <v>0</v>
      </c>
      <c r="C5" s="3">
        <v>2</v>
      </c>
      <c r="D5" s="3" t="s">
        <v>98</v>
      </c>
      <c r="I5" s="3" t="s">
        <v>94</v>
      </c>
      <c r="K5" s="19"/>
      <c r="N5" s="38" t="s">
        <v>374</v>
      </c>
      <c r="O5" s="1" t="s">
        <v>373</v>
      </c>
      <c r="P5" s="38" t="s">
        <v>377</v>
      </c>
      <c r="Q5" s="1" t="s">
        <v>356</v>
      </c>
      <c r="R5" s="21" t="s">
        <v>95</v>
      </c>
    </row>
    <row r="6" spans="1:18" ht="30" x14ac:dyDescent="0.25">
      <c r="A6" s="19" t="s">
        <v>99</v>
      </c>
      <c r="B6" s="3">
        <v>0</v>
      </c>
      <c r="C6" s="3">
        <v>3</v>
      </c>
      <c r="D6" s="3" t="s">
        <v>100</v>
      </c>
      <c r="F6" s="3">
        <v>0</v>
      </c>
      <c r="G6" s="20">
        <v>4294967296</v>
      </c>
      <c r="I6" s="3" t="s">
        <v>101</v>
      </c>
      <c r="K6" s="19"/>
      <c r="N6" s="38" t="s">
        <v>370</v>
      </c>
      <c r="O6" s="38" t="s">
        <v>378</v>
      </c>
      <c r="P6" s="38" t="s">
        <v>377</v>
      </c>
      <c r="Q6" s="1" t="s">
        <v>356</v>
      </c>
      <c r="R6" s="21" t="s">
        <v>95</v>
      </c>
    </row>
    <row r="7" spans="1:18" x14ac:dyDescent="0.25">
      <c r="A7" s="19" t="s">
        <v>102</v>
      </c>
      <c r="B7" s="3">
        <v>0</v>
      </c>
      <c r="C7" s="3">
        <v>4</v>
      </c>
      <c r="D7" s="3" t="s">
        <v>103</v>
      </c>
      <c r="I7" s="3" t="s">
        <v>104</v>
      </c>
      <c r="K7" s="19"/>
      <c r="L7" s="3" t="s">
        <v>347</v>
      </c>
    </row>
    <row r="8" spans="1:18" ht="150" x14ac:dyDescent="0.25">
      <c r="A8" s="19" t="s">
        <v>105</v>
      </c>
      <c r="B8" s="3">
        <v>0</v>
      </c>
      <c r="C8" s="3">
        <v>5</v>
      </c>
      <c r="D8" s="3" t="s">
        <v>106</v>
      </c>
      <c r="I8" s="3" t="s">
        <v>94</v>
      </c>
      <c r="J8" s="39" t="s">
        <v>107</v>
      </c>
      <c r="K8" s="40" t="s">
        <v>108</v>
      </c>
      <c r="L8" s="39" t="s">
        <v>698</v>
      </c>
      <c r="M8" s="39"/>
    </row>
    <row r="9" spans="1:18" ht="285" x14ac:dyDescent="0.25">
      <c r="A9" s="19" t="s">
        <v>109</v>
      </c>
      <c r="B9" s="3">
        <v>0</v>
      </c>
      <c r="C9" s="3">
        <v>6</v>
      </c>
      <c r="D9" s="3" t="s">
        <v>110</v>
      </c>
      <c r="I9" s="3" t="s">
        <v>94</v>
      </c>
      <c r="J9" s="22" t="s">
        <v>111</v>
      </c>
      <c r="K9" s="23" t="s">
        <v>112</v>
      </c>
      <c r="L9" s="22" t="s">
        <v>699</v>
      </c>
      <c r="M9" s="22" t="s">
        <v>383</v>
      </c>
      <c r="N9" s="1" t="s">
        <v>366</v>
      </c>
      <c r="O9" s="38" t="s">
        <v>369</v>
      </c>
      <c r="P9" s="38" t="s">
        <v>367</v>
      </c>
      <c r="Q9" s="38" t="s">
        <v>368</v>
      </c>
      <c r="R9" s="21" t="s">
        <v>366</v>
      </c>
    </row>
    <row r="10" spans="1:18" x14ac:dyDescent="0.25">
      <c r="A10" s="19" t="s">
        <v>113</v>
      </c>
      <c r="B10" s="3">
        <v>0</v>
      </c>
      <c r="C10" s="3">
        <v>7</v>
      </c>
      <c r="D10" s="3" t="s">
        <v>93</v>
      </c>
      <c r="I10" s="3" t="s">
        <v>104</v>
      </c>
      <c r="J10" s="22"/>
      <c r="K10" s="22"/>
      <c r="L10" s="22" t="s">
        <v>347</v>
      </c>
      <c r="M10" s="45" t="s">
        <v>493</v>
      </c>
    </row>
    <row r="11" spans="1:18" x14ac:dyDescent="0.25">
      <c r="A11" s="3" t="s">
        <v>114</v>
      </c>
      <c r="B11" s="3">
        <v>0</v>
      </c>
      <c r="C11" s="3">
        <v>8</v>
      </c>
      <c r="D11" s="3" t="s">
        <v>93</v>
      </c>
      <c r="I11" s="3" t="s">
        <v>94</v>
      </c>
      <c r="J11" s="22"/>
      <c r="K11" s="22" t="s">
        <v>115</v>
      </c>
      <c r="L11" s="22" t="s">
        <v>347</v>
      </c>
      <c r="M11" s="22"/>
    </row>
    <row r="12" spans="1:18" x14ac:dyDescent="0.25">
      <c r="A12" s="19" t="s">
        <v>324</v>
      </c>
      <c r="B12" s="3">
        <v>0</v>
      </c>
      <c r="C12" s="3">
        <v>9</v>
      </c>
      <c r="D12" s="3" t="s">
        <v>100</v>
      </c>
      <c r="I12" s="3" t="s">
        <v>101</v>
      </c>
      <c r="J12" s="22"/>
      <c r="K12" s="23" t="s">
        <v>116</v>
      </c>
      <c r="L12" s="22" t="s">
        <v>348</v>
      </c>
      <c r="M12" s="98" t="s">
        <v>491</v>
      </c>
      <c r="R12" s="21" t="s">
        <v>117</v>
      </c>
    </row>
    <row r="13" spans="1:18" x14ac:dyDescent="0.25">
      <c r="A13" s="19" t="s">
        <v>325</v>
      </c>
      <c r="B13" s="3">
        <v>0</v>
      </c>
      <c r="C13" s="3" t="s">
        <v>55</v>
      </c>
      <c r="D13" s="3" t="s">
        <v>100</v>
      </c>
      <c r="I13" s="3" t="s">
        <v>101</v>
      </c>
      <c r="J13" s="22"/>
      <c r="K13" s="23" t="s">
        <v>116</v>
      </c>
      <c r="L13" s="22" t="s">
        <v>348</v>
      </c>
      <c r="M13" s="98"/>
      <c r="R13" s="21" t="s">
        <v>117</v>
      </c>
    </row>
    <row r="14" spans="1:18" x14ac:dyDescent="0.25">
      <c r="A14" s="19" t="s">
        <v>118</v>
      </c>
      <c r="B14" s="3">
        <v>0</v>
      </c>
      <c r="C14" s="3" t="s">
        <v>57</v>
      </c>
      <c r="D14" s="3" t="s">
        <v>100</v>
      </c>
      <c r="I14" s="3" t="s">
        <v>101</v>
      </c>
      <c r="J14" s="22"/>
      <c r="K14" s="23" t="s">
        <v>119</v>
      </c>
      <c r="L14" s="22" t="s">
        <v>347</v>
      </c>
      <c r="M14" s="98"/>
      <c r="R14" s="21" t="s">
        <v>117</v>
      </c>
    </row>
    <row r="15" spans="1:18" x14ac:dyDescent="0.25">
      <c r="A15" s="19" t="s">
        <v>120</v>
      </c>
      <c r="B15" s="3">
        <v>0</v>
      </c>
      <c r="C15" s="3" t="s">
        <v>58</v>
      </c>
      <c r="D15" s="3" t="s">
        <v>100</v>
      </c>
      <c r="I15" s="3" t="s">
        <v>101</v>
      </c>
      <c r="J15" s="22"/>
      <c r="K15" s="23" t="s">
        <v>119</v>
      </c>
      <c r="L15" s="22" t="s">
        <v>347</v>
      </c>
      <c r="M15" s="98"/>
      <c r="R15" s="21" t="s">
        <v>117</v>
      </c>
    </row>
    <row r="16" spans="1:18" x14ac:dyDescent="0.25">
      <c r="A16" s="19" t="s">
        <v>121</v>
      </c>
      <c r="B16" s="3">
        <v>0</v>
      </c>
      <c r="C16" s="3" t="s">
        <v>60</v>
      </c>
      <c r="D16" s="3" t="s">
        <v>100</v>
      </c>
      <c r="I16" s="3" t="s">
        <v>101</v>
      </c>
      <c r="J16" s="22"/>
      <c r="K16" s="23" t="s">
        <v>122</v>
      </c>
      <c r="L16" s="22" t="s">
        <v>347</v>
      </c>
      <c r="M16" s="98"/>
      <c r="R16" s="21" t="s">
        <v>117</v>
      </c>
    </row>
    <row r="17" spans="1:25" x14ac:dyDescent="0.25">
      <c r="A17" s="19" t="s">
        <v>123</v>
      </c>
      <c r="B17" s="3">
        <v>0</v>
      </c>
      <c r="C17" s="3" t="s">
        <v>64</v>
      </c>
      <c r="D17" s="3" t="s">
        <v>100</v>
      </c>
      <c r="I17" s="3" t="s">
        <v>101</v>
      </c>
      <c r="J17" s="22"/>
      <c r="K17" s="23" t="s">
        <v>122</v>
      </c>
      <c r="L17" s="22" t="s">
        <v>347</v>
      </c>
      <c r="M17" s="98"/>
      <c r="R17" s="21" t="s">
        <v>117</v>
      </c>
    </row>
    <row r="18" spans="1:25" x14ac:dyDescent="0.25">
      <c r="A18" s="19" t="s">
        <v>124</v>
      </c>
      <c r="B18" s="3">
        <v>0</v>
      </c>
      <c r="C18" s="3" t="s">
        <v>66</v>
      </c>
      <c r="D18" s="3" t="s">
        <v>93</v>
      </c>
      <c r="I18" s="3" t="s">
        <v>94</v>
      </c>
      <c r="J18" s="22"/>
      <c r="K18" s="23" t="s">
        <v>125</v>
      </c>
      <c r="L18" s="22" t="s">
        <v>347</v>
      </c>
      <c r="M18" s="98"/>
      <c r="R18" s="21" t="s">
        <v>117</v>
      </c>
    </row>
    <row r="19" spans="1:25" x14ac:dyDescent="0.25">
      <c r="A19" s="19" t="s">
        <v>126</v>
      </c>
      <c r="B19" s="3">
        <v>0</v>
      </c>
      <c r="C19" s="3">
        <v>10</v>
      </c>
      <c r="D19" s="3" t="s">
        <v>93</v>
      </c>
      <c r="I19" s="3" t="s">
        <v>94</v>
      </c>
      <c r="J19" s="22"/>
      <c r="K19" s="22"/>
      <c r="L19" s="22" t="s">
        <v>347</v>
      </c>
      <c r="M19" s="98"/>
      <c r="R19" s="21" t="s">
        <v>117</v>
      </c>
    </row>
    <row r="20" spans="1:25" x14ac:dyDescent="0.25">
      <c r="A20" s="19" t="s">
        <v>127</v>
      </c>
      <c r="B20" s="3">
        <v>0</v>
      </c>
      <c r="C20" s="3">
        <v>11</v>
      </c>
      <c r="D20" s="3" t="s">
        <v>93</v>
      </c>
      <c r="I20" s="3" t="s">
        <v>94</v>
      </c>
      <c r="J20" s="22"/>
      <c r="K20" s="22"/>
      <c r="L20" s="22" t="s">
        <v>347</v>
      </c>
      <c r="M20" s="98"/>
      <c r="R20" s="21" t="s">
        <v>117</v>
      </c>
    </row>
    <row r="21" spans="1:25" x14ac:dyDescent="0.25">
      <c r="A21" s="19" t="s">
        <v>128</v>
      </c>
      <c r="B21" s="3">
        <v>0</v>
      </c>
      <c r="C21" s="3">
        <v>12</v>
      </c>
      <c r="D21" s="3" t="s">
        <v>129</v>
      </c>
      <c r="I21" s="3" t="s">
        <v>94</v>
      </c>
      <c r="J21" s="3" t="s">
        <v>130</v>
      </c>
      <c r="K21" s="22"/>
      <c r="L21" s="22" t="s">
        <v>347</v>
      </c>
      <c r="M21" s="98"/>
      <c r="R21" s="21" t="s">
        <v>117</v>
      </c>
    </row>
    <row r="22" spans="1:25" x14ac:dyDescent="0.25">
      <c r="A22" s="3" t="s">
        <v>131</v>
      </c>
      <c r="B22" s="3">
        <v>0</v>
      </c>
      <c r="C22" s="3">
        <v>13</v>
      </c>
      <c r="D22" s="3" t="s">
        <v>132</v>
      </c>
      <c r="I22" s="3" t="s">
        <v>94</v>
      </c>
      <c r="J22" s="3" t="s">
        <v>133</v>
      </c>
      <c r="K22" s="1"/>
      <c r="L22" s="22" t="s">
        <v>347</v>
      </c>
      <c r="M22" s="98"/>
      <c r="S22" s="1"/>
      <c r="T22" s="1"/>
      <c r="U22" s="1"/>
      <c r="V22" s="1"/>
      <c r="W22" s="1"/>
      <c r="X22" s="1"/>
      <c r="Y22" s="1"/>
    </row>
    <row r="23" spans="1:25" x14ac:dyDescent="0.25">
      <c r="A23" s="19" t="s">
        <v>134</v>
      </c>
      <c r="B23" s="3">
        <v>0</v>
      </c>
      <c r="C23" s="3">
        <v>14</v>
      </c>
      <c r="D23" s="3" t="s">
        <v>100</v>
      </c>
      <c r="I23" s="3" t="s">
        <v>94</v>
      </c>
      <c r="K23" s="1"/>
      <c r="L23" s="22" t="s">
        <v>347</v>
      </c>
      <c r="M23" s="98"/>
      <c r="R23" s="21" t="s">
        <v>117</v>
      </c>
      <c r="S23" s="1"/>
      <c r="T23" s="1"/>
      <c r="U23" s="1"/>
      <c r="V23" s="1"/>
      <c r="W23" s="1"/>
      <c r="X23" s="1"/>
      <c r="Y23" s="1"/>
    </row>
    <row r="24" spans="1:25" ht="120" x14ac:dyDescent="0.25">
      <c r="A24" s="19" t="s">
        <v>384</v>
      </c>
      <c r="B24" s="3">
        <v>0</v>
      </c>
      <c r="C24" s="3">
        <v>15</v>
      </c>
      <c r="D24" s="3" t="s">
        <v>100</v>
      </c>
      <c r="I24" s="3" t="s">
        <v>94</v>
      </c>
      <c r="J24" s="10" t="s">
        <v>775</v>
      </c>
      <c r="L24" s="10" t="s">
        <v>775</v>
      </c>
      <c r="M24" s="99" t="s">
        <v>492</v>
      </c>
    </row>
    <row r="25" spans="1:25" ht="150" x14ac:dyDescent="0.25">
      <c r="A25" s="19" t="s">
        <v>385</v>
      </c>
      <c r="B25" s="3">
        <v>0</v>
      </c>
      <c r="C25" s="3">
        <v>16</v>
      </c>
      <c r="D25" s="3" t="s">
        <v>100</v>
      </c>
      <c r="I25" s="3" t="s">
        <v>94</v>
      </c>
      <c r="J25" s="10" t="s">
        <v>776</v>
      </c>
      <c r="L25" s="10" t="s">
        <v>776</v>
      </c>
      <c r="M25" s="99"/>
    </row>
    <row r="26" spans="1:25" x14ac:dyDescent="0.25">
      <c r="A26" s="19" t="s">
        <v>902</v>
      </c>
      <c r="B26" s="3">
        <v>0</v>
      </c>
      <c r="C26" s="3">
        <v>17</v>
      </c>
      <c r="D26" s="3" t="s">
        <v>93</v>
      </c>
      <c r="E26" s="74" t="s">
        <v>523</v>
      </c>
      <c r="F26" s="3">
        <v>0</v>
      </c>
      <c r="G26" s="74" t="s">
        <v>523</v>
      </c>
      <c r="I26" s="3" t="s">
        <v>94</v>
      </c>
    </row>
    <row r="28" spans="1:25" x14ac:dyDescent="0.25">
      <c r="N28" s="3"/>
      <c r="O28" s="3"/>
      <c r="P28" s="3"/>
      <c r="Q28" s="3"/>
    </row>
  </sheetData>
  <mergeCells count="3">
    <mergeCell ref="A2:I2"/>
    <mergeCell ref="M12:M23"/>
    <mergeCell ref="M24:M25"/>
  </mergeCells>
  <pageMargins left="0.70833333333333304" right="0.70833333333333304" top="0.74791666666666701" bottom="0.7479166666666670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M54"/>
  <sheetViews>
    <sheetView zoomScale="63" zoomScaleNormal="80" workbookViewId="0">
      <pane xSplit="1" ySplit="4" topLeftCell="B50" activePane="bottomRight" state="frozen"/>
      <selection pane="topRight" activeCell="B1" sqref="B1"/>
      <selection pane="bottomLeft" activeCell="A3" sqref="A3"/>
      <selection pane="bottomRight" activeCell="A55" sqref="A55"/>
    </sheetView>
  </sheetViews>
  <sheetFormatPr defaultColWidth="9.28515625" defaultRowHeight="15" x14ac:dyDescent="0.25"/>
  <cols>
    <col min="1" max="1" width="60.7109375" style="1" customWidth="1"/>
    <col min="2" max="2" width="19.7109375" style="1" customWidth="1"/>
    <col min="3" max="3" width="19.42578125" style="1" customWidth="1"/>
    <col min="4" max="4" width="31.42578125" style="1" customWidth="1"/>
    <col min="5" max="5" width="10.28515625" style="1" customWidth="1"/>
    <col min="6" max="6" width="8.7109375" style="1" customWidth="1"/>
    <col min="7" max="7" width="12.7109375" style="1" customWidth="1"/>
    <col min="8" max="8" width="17.5703125" style="1" customWidth="1"/>
    <col min="9" max="9" width="4.7109375" style="1" customWidth="1"/>
    <col min="10" max="10" width="40.5703125" style="1" bestFit="1" customWidth="1"/>
    <col min="11" max="14" width="22.42578125" style="1" customWidth="1"/>
    <col min="15" max="1027" width="9.28515625" style="1"/>
  </cols>
  <sheetData>
    <row r="1" spans="1:22" s="1" customFormat="1" x14ac:dyDescent="0.25">
      <c r="A1" s="100" t="s">
        <v>780</v>
      </c>
      <c r="B1" s="100"/>
      <c r="C1" s="100"/>
      <c r="D1" s="100"/>
      <c r="E1" s="100"/>
      <c r="F1" s="100"/>
      <c r="G1" s="100"/>
      <c r="H1" s="100"/>
      <c r="I1" s="100"/>
      <c r="J1" s="100"/>
      <c r="K1" s="3"/>
    </row>
    <row r="2" spans="1:22" s="1" customFormat="1" x14ac:dyDescent="0.25">
      <c r="A2" s="3" t="s">
        <v>895</v>
      </c>
      <c r="K2" s="3"/>
    </row>
    <row r="3" spans="1:22" x14ac:dyDescent="0.25">
      <c r="A3" s="14" t="s">
        <v>90</v>
      </c>
      <c r="B3" s="5" t="s">
        <v>81</v>
      </c>
      <c r="C3" s="5" t="s">
        <v>82</v>
      </c>
      <c r="D3" s="2" t="s">
        <v>83</v>
      </c>
      <c r="E3" s="15" t="s">
        <v>84</v>
      </c>
      <c r="F3" s="16" t="s">
        <v>85</v>
      </c>
      <c r="G3" s="16" t="s">
        <v>86</v>
      </c>
      <c r="H3" s="17" t="s">
        <v>87</v>
      </c>
      <c r="I3" s="18" t="s">
        <v>88</v>
      </c>
      <c r="J3" s="3" t="s">
        <v>135</v>
      </c>
      <c r="K3" s="1" t="s">
        <v>351</v>
      </c>
      <c r="L3" s="1" t="s">
        <v>357</v>
      </c>
      <c r="M3" s="1" t="s">
        <v>352</v>
      </c>
      <c r="N3" s="1" t="s">
        <v>355</v>
      </c>
    </row>
    <row r="4" spans="1:22" x14ac:dyDescent="0.25">
      <c r="A4" s="97" t="s">
        <v>136</v>
      </c>
      <c r="B4" s="97"/>
      <c r="C4" s="97"/>
      <c r="D4" s="97"/>
      <c r="E4" s="97"/>
      <c r="F4" s="97"/>
      <c r="G4" s="97"/>
      <c r="H4" s="97"/>
      <c r="I4" s="97"/>
      <c r="J4" s="97"/>
      <c r="K4" s="97"/>
      <c r="L4" s="97"/>
      <c r="M4" s="97"/>
      <c r="N4" s="97"/>
      <c r="O4" s="97"/>
      <c r="P4" s="97"/>
      <c r="Q4" s="97"/>
      <c r="R4" s="97"/>
      <c r="S4" s="97"/>
      <c r="T4" s="97"/>
      <c r="U4" s="97"/>
      <c r="V4" s="97"/>
    </row>
    <row r="5" spans="1:22" x14ac:dyDescent="0.25">
      <c r="A5" s="3" t="s">
        <v>137</v>
      </c>
      <c r="B5" s="3">
        <v>80</v>
      </c>
      <c r="C5" s="3">
        <v>0</v>
      </c>
      <c r="D5" s="3" t="s">
        <v>138</v>
      </c>
      <c r="E5" s="3"/>
      <c r="F5" s="3"/>
      <c r="G5" s="3"/>
      <c r="H5" s="3"/>
      <c r="I5" s="3" t="s">
        <v>104</v>
      </c>
      <c r="J5" s="3"/>
    </row>
    <row r="6" spans="1:22" x14ac:dyDescent="0.25">
      <c r="A6" s="97" t="s">
        <v>139</v>
      </c>
      <c r="B6" s="97"/>
      <c r="C6" s="97"/>
      <c r="D6" s="97"/>
      <c r="E6" s="97"/>
      <c r="F6" s="97"/>
      <c r="G6" s="97"/>
      <c r="H6" s="97"/>
      <c r="I6" s="97"/>
      <c r="J6" s="97"/>
      <c r="K6" s="97"/>
      <c r="L6" s="97"/>
      <c r="M6" s="97"/>
      <c r="N6" s="97"/>
      <c r="O6" s="97"/>
      <c r="P6" s="97"/>
      <c r="Q6" s="97"/>
      <c r="R6" s="97"/>
      <c r="S6" s="97"/>
      <c r="T6" s="97"/>
      <c r="U6" s="97"/>
      <c r="V6" s="97"/>
    </row>
    <row r="7" spans="1:22" x14ac:dyDescent="0.25">
      <c r="A7" s="19" t="s">
        <v>140</v>
      </c>
      <c r="B7" s="3">
        <v>80</v>
      </c>
      <c r="C7" s="3">
        <v>1</v>
      </c>
      <c r="D7" s="3" t="s">
        <v>141</v>
      </c>
      <c r="E7" s="3"/>
      <c r="F7" s="3">
        <v>0</v>
      </c>
      <c r="G7" s="3">
        <v>1</v>
      </c>
      <c r="H7" s="3"/>
      <c r="I7" s="3" t="s">
        <v>94</v>
      </c>
      <c r="J7" s="3" t="s">
        <v>142</v>
      </c>
    </row>
    <row r="8" spans="1:22" ht="71.25" x14ac:dyDescent="0.25">
      <c r="A8" s="19" t="s">
        <v>143</v>
      </c>
      <c r="B8" s="3">
        <v>80</v>
      </c>
      <c r="C8" s="3">
        <v>2</v>
      </c>
      <c r="D8" s="3" t="s">
        <v>144</v>
      </c>
      <c r="E8" s="3"/>
      <c r="F8" s="3">
        <v>0</v>
      </c>
      <c r="G8" s="3">
        <v>4</v>
      </c>
      <c r="H8" s="3"/>
      <c r="I8" s="3" t="s">
        <v>94</v>
      </c>
      <c r="J8" s="10" t="s">
        <v>145</v>
      </c>
      <c r="O8" s="1" t="s">
        <v>146</v>
      </c>
    </row>
    <row r="9" spans="1:22" x14ac:dyDescent="0.25">
      <c r="A9" s="19" t="s">
        <v>147</v>
      </c>
      <c r="B9" s="3">
        <v>80</v>
      </c>
      <c r="C9" s="3">
        <v>3</v>
      </c>
      <c r="D9" s="3" t="s">
        <v>148</v>
      </c>
      <c r="E9" s="3"/>
      <c r="F9" s="3"/>
      <c r="G9" s="3"/>
      <c r="H9" s="3"/>
      <c r="I9" s="3" t="s">
        <v>94</v>
      </c>
      <c r="J9" s="3"/>
    </row>
    <row r="10" spans="1:22" x14ac:dyDescent="0.25">
      <c r="A10" s="19" t="s">
        <v>149</v>
      </c>
      <c r="B10" s="3">
        <f t="shared" ref="B10:B18" si="0">B7</f>
        <v>80</v>
      </c>
      <c r="C10" s="3">
        <f t="shared" ref="C10:C15" si="1">C9+1</f>
        <v>4</v>
      </c>
      <c r="D10" s="3" t="s">
        <v>148</v>
      </c>
      <c r="E10" s="3"/>
      <c r="F10" s="3"/>
      <c r="G10" s="3"/>
      <c r="H10" s="3"/>
      <c r="I10" s="3" t="s">
        <v>94</v>
      </c>
      <c r="J10" s="3"/>
      <c r="K10" s="21" t="s">
        <v>353</v>
      </c>
      <c r="L10" s="21" t="s">
        <v>317</v>
      </c>
      <c r="M10" s="21" t="s">
        <v>354</v>
      </c>
      <c r="N10" s="21" t="s">
        <v>356</v>
      </c>
    </row>
    <row r="11" spans="1:22" x14ac:dyDescent="0.25">
      <c r="A11" s="19" t="s">
        <v>150</v>
      </c>
      <c r="B11" s="3">
        <f t="shared" si="0"/>
        <v>80</v>
      </c>
      <c r="C11" s="3">
        <f t="shared" si="1"/>
        <v>5</v>
      </c>
      <c r="D11" s="3" t="s">
        <v>141</v>
      </c>
      <c r="E11" s="3"/>
      <c r="F11" s="3"/>
      <c r="G11" s="3"/>
      <c r="H11" s="3"/>
      <c r="I11" s="3" t="s">
        <v>94</v>
      </c>
      <c r="J11" s="3"/>
    </row>
    <row r="12" spans="1:22" x14ac:dyDescent="0.25">
      <c r="A12" s="19" t="s">
        <v>151</v>
      </c>
      <c r="B12" s="3">
        <f t="shared" si="0"/>
        <v>80</v>
      </c>
      <c r="C12" s="3">
        <f t="shared" si="1"/>
        <v>6</v>
      </c>
      <c r="D12" s="3" t="s">
        <v>148</v>
      </c>
      <c r="E12" s="3"/>
      <c r="F12" s="3"/>
      <c r="G12" s="3"/>
      <c r="H12" s="3"/>
      <c r="I12" s="3" t="s">
        <v>101</v>
      </c>
      <c r="J12" s="3"/>
      <c r="K12" s="21" t="s">
        <v>353</v>
      </c>
      <c r="L12" s="21" t="s">
        <v>358</v>
      </c>
      <c r="M12" s="21" t="s">
        <v>354</v>
      </c>
      <c r="N12" s="21" t="s">
        <v>356</v>
      </c>
    </row>
    <row r="13" spans="1:22" x14ac:dyDescent="0.25">
      <c r="A13" s="19" t="s">
        <v>152</v>
      </c>
      <c r="B13" s="3">
        <f t="shared" si="0"/>
        <v>80</v>
      </c>
      <c r="C13" s="3">
        <f t="shared" si="1"/>
        <v>7</v>
      </c>
      <c r="D13" s="3" t="s">
        <v>153</v>
      </c>
      <c r="E13" s="3"/>
      <c r="F13" s="3"/>
      <c r="G13" s="3"/>
      <c r="H13" s="3"/>
      <c r="I13" s="3" t="s">
        <v>101</v>
      </c>
      <c r="J13" s="3"/>
      <c r="K13" s="21" t="s">
        <v>353</v>
      </c>
      <c r="L13" s="21" t="s">
        <v>359</v>
      </c>
      <c r="M13" s="21" t="s">
        <v>354</v>
      </c>
      <c r="N13" s="21" t="s">
        <v>356</v>
      </c>
    </row>
    <row r="14" spans="1:22" x14ac:dyDescent="0.25">
      <c r="A14" s="19" t="s">
        <v>154</v>
      </c>
      <c r="B14" s="3">
        <f t="shared" si="0"/>
        <v>80</v>
      </c>
      <c r="C14" s="3">
        <f t="shared" si="1"/>
        <v>8</v>
      </c>
      <c r="D14" s="3" t="s">
        <v>148</v>
      </c>
      <c r="E14" s="3"/>
      <c r="F14" s="3"/>
      <c r="G14" s="3"/>
      <c r="H14" s="3"/>
      <c r="I14" s="3" t="s">
        <v>94</v>
      </c>
      <c r="J14" s="3"/>
      <c r="O14" s="101" t="s">
        <v>155</v>
      </c>
      <c r="P14" s="101"/>
      <c r="Q14" s="101"/>
      <c r="R14" s="101"/>
      <c r="S14" s="101"/>
      <c r="T14" s="101"/>
      <c r="U14" s="101"/>
    </row>
    <row r="15" spans="1:22" x14ac:dyDescent="0.25">
      <c r="A15" s="19" t="s">
        <v>156</v>
      </c>
      <c r="B15" s="3">
        <f t="shared" si="0"/>
        <v>80</v>
      </c>
      <c r="C15" s="3">
        <f t="shared" si="1"/>
        <v>9</v>
      </c>
      <c r="D15" s="3" t="s">
        <v>148</v>
      </c>
      <c r="E15" s="3"/>
      <c r="F15" s="3"/>
      <c r="G15" s="3"/>
      <c r="H15" s="3"/>
      <c r="I15" s="3" t="s">
        <v>94</v>
      </c>
      <c r="J15" s="3"/>
      <c r="K15" s="21" t="s">
        <v>353</v>
      </c>
      <c r="L15" s="21" t="s">
        <v>363</v>
      </c>
      <c r="M15" s="21" t="s">
        <v>354</v>
      </c>
      <c r="N15" s="21" t="s">
        <v>356</v>
      </c>
      <c r="O15" s="101"/>
      <c r="P15" s="101"/>
      <c r="Q15" s="101"/>
      <c r="R15" s="101"/>
      <c r="S15" s="101"/>
      <c r="T15" s="101"/>
      <c r="U15" s="101"/>
    </row>
    <row r="16" spans="1:22" x14ac:dyDescent="0.25">
      <c r="A16" s="19" t="s">
        <v>158</v>
      </c>
      <c r="B16" s="3">
        <f t="shared" si="0"/>
        <v>80</v>
      </c>
      <c r="C16" s="3" t="s">
        <v>55</v>
      </c>
      <c r="D16" s="3" t="s">
        <v>141</v>
      </c>
      <c r="E16" s="3"/>
      <c r="F16" s="3"/>
      <c r="G16" s="3"/>
      <c r="H16" s="3"/>
      <c r="I16" s="3" t="s">
        <v>94</v>
      </c>
      <c r="J16" s="3"/>
      <c r="O16" s="101"/>
      <c r="P16" s="101"/>
      <c r="Q16" s="101"/>
      <c r="R16" s="101"/>
      <c r="S16" s="101"/>
      <c r="T16" s="101"/>
      <c r="U16" s="101"/>
    </row>
    <row r="17" spans="1:22" x14ac:dyDescent="0.25">
      <c r="A17" s="19" t="s">
        <v>159</v>
      </c>
      <c r="B17" s="3">
        <f t="shared" si="0"/>
        <v>80</v>
      </c>
      <c r="C17" s="3" t="s">
        <v>57</v>
      </c>
      <c r="D17" s="3" t="s">
        <v>148</v>
      </c>
      <c r="E17" s="3"/>
      <c r="F17" s="3"/>
      <c r="G17" s="3"/>
      <c r="H17" s="3"/>
      <c r="I17" s="3" t="s">
        <v>101</v>
      </c>
      <c r="J17" s="3"/>
      <c r="K17" s="21" t="s">
        <v>353</v>
      </c>
      <c r="L17" s="21" t="s">
        <v>360</v>
      </c>
      <c r="M17" s="21" t="s">
        <v>354</v>
      </c>
      <c r="N17" s="21" t="s">
        <v>356</v>
      </c>
      <c r="O17" s="101"/>
      <c r="P17" s="101"/>
      <c r="Q17" s="101"/>
      <c r="R17" s="101"/>
      <c r="S17" s="101"/>
      <c r="T17" s="101"/>
      <c r="U17" s="101"/>
    </row>
    <row r="18" spans="1:22" x14ac:dyDescent="0.25">
      <c r="A18" s="19" t="s">
        <v>160</v>
      </c>
      <c r="B18" s="3">
        <f t="shared" si="0"/>
        <v>80</v>
      </c>
      <c r="C18" s="3" t="s">
        <v>58</v>
      </c>
      <c r="D18" s="3" t="s">
        <v>153</v>
      </c>
      <c r="E18" s="3"/>
      <c r="F18" s="3"/>
      <c r="G18" s="3"/>
      <c r="H18" s="3"/>
      <c r="I18" s="3" t="s">
        <v>101</v>
      </c>
      <c r="J18" s="3"/>
      <c r="K18" s="21" t="s">
        <v>353</v>
      </c>
      <c r="L18" s="21" t="s">
        <v>361</v>
      </c>
      <c r="M18" s="21" t="s">
        <v>354</v>
      </c>
      <c r="N18" s="21" t="s">
        <v>356</v>
      </c>
      <c r="O18" s="101"/>
      <c r="P18" s="101"/>
      <c r="Q18" s="101"/>
      <c r="R18" s="101"/>
      <c r="S18" s="101"/>
      <c r="T18" s="101"/>
      <c r="U18" s="101"/>
    </row>
    <row r="19" spans="1:22" x14ac:dyDescent="0.25">
      <c r="A19" s="19" t="s">
        <v>161</v>
      </c>
      <c r="B19" s="3">
        <v>80</v>
      </c>
      <c r="C19" s="3" t="s">
        <v>60</v>
      </c>
      <c r="D19" s="3" t="s">
        <v>148</v>
      </c>
      <c r="E19" s="3"/>
      <c r="F19" s="3"/>
      <c r="G19" s="3"/>
      <c r="H19" s="3"/>
      <c r="I19" s="3" t="s">
        <v>94</v>
      </c>
      <c r="J19" s="3"/>
      <c r="O19" s="101"/>
      <c r="P19" s="101"/>
      <c r="Q19" s="101"/>
      <c r="R19" s="101"/>
      <c r="S19" s="101"/>
      <c r="T19" s="101"/>
      <c r="U19" s="101"/>
    </row>
    <row r="20" spans="1:22" x14ac:dyDescent="0.25">
      <c r="A20" s="19" t="s">
        <v>162</v>
      </c>
      <c r="B20" s="3">
        <v>80</v>
      </c>
      <c r="C20" s="3" t="s">
        <v>64</v>
      </c>
      <c r="D20" s="3" t="s">
        <v>148</v>
      </c>
      <c r="E20" s="3"/>
      <c r="F20" s="3"/>
      <c r="G20" s="3"/>
      <c r="H20" s="3"/>
      <c r="I20" s="3" t="s">
        <v>94</v>
      </c>
      <c r="J20" s="3"/>
      <c r="K20" s="21" t="s">
        <v>353</v>
      </c>
      <c r="L20" s="21" t="s">
        <v>362</v>
      </c>
      <c r="M20" s="21" t="s">
        <v>354</v>
      </c>
      <c r="N20" s="21" t="s">
        <v>356</v>
      </c>
      <c r="O20" s="101"/>
      <c r="P20" s="101"/>
      <c r="Q20" s="101"/>
      <c r="R20" s="101"/>
      <c r="S20" s="101"/>
      <c r="T20" s="101"/>
      <c r="U20" s="101"/>
    </row>
    <row r="21" spans="1:22" x14ac:dyDescent="0.25">
      <c r="A21" s="19" t="s">
        <v>163</v>
      </c>
      <c r="B21" s="3">
        <v>80</v>
      </c>
      <c r="C21" s="3" t="s">
        <v>66</v>
      </c>
      <c r="D21" s="3" t="s">
        <v>141</v>
      </c>
      <c r="E21" s="3"/>
      <c r="F21" s="3"/>
      <c r="G21" s="3"/>
      <c r="H21" s="3"/>
      <c r="I21" s="3" t="s">
        <v>94</v>
      </c>
      <c r="J21" s="3"/>
      <c r="O21" s="101"/>
      <c r="P21" s="101"/>
      <c r="Q21" s="101"/>
      <c r="R21" s="101"/>
      <c r="S21" s="101"/>
      <c r="T21" s="101"/>
      <c r="U21" s="101"/>
    </row>
    <row r="22" spans="1:22" x14ac:dyDescent="0.25">
      <c r="A22" s="19" t="s">
        <v>164</v>
      </c>
      <c r="B22" s="3">
        <v>80</v>
      </c>
      <c r="C22" s="3">
        <v>10</v>
      </c>
      <c r="D22" s="3" t="s">
        <v>148</v>
      </c>
      <c r="E22" s="3"/>
      <c r="F22" s="3"/>
      <c r="G22" s="3"/>
      <c r="H22" s="3"/>
      <c r="I22" s="3" t="s">
        <v>101</v>
      </c>
      <c r="J22" s="3"/>
      <c r="K22" s="21" t="s">
        <v>353</v>
      </c>
      <c r="L22" s="21" t="s">
        <v>360</v>
      </c>
      <c r="M22" s="21" t="s">
        <v>354</v>
      </c>
      <c r="N22" s="21" t="s">
        <v>356</v>
      </c>
      <c r="O22" s="101"/>
      <c r="P22" s="101"/>
      <c r="Q22" s="101"/>
      <c r="R22" s="101"/>
      <c r="S22" s="101"/>
      <c r="T22" s="101"/>
      <c r="U22" s="101"/>
    </row>
    <row r="23" spans="1:22" x14ac:dyDescent="0.25">
      <c r="A23" s="19" t="s">
        <v>165</v>
      </c>
      <c r="B23" s="3">
        <v>80</v>
      </c>
      <c r="C23" s="3">
        <f t="shared" ref="C23:C29" si="2">C22+1</f>
        <v>11</v>
      </c>
      <c r="D23" s="3" t="s">
        <v>166</v>
      </c>
      <c r="E23" s="3"/>
      <c r="F23" s="3"/>
      <c r="G23" s="3"/>
      <c r="H23" s="3"/>
      <c r="I23" s="3" t="s">
        <v>101</v>
      </c>
      <c r="J23" s="3"/>
      <c r="K23" s="21" t="s">
        <v>353</v>
      </c>
      <c r="L23" s="21" t="s">
        <v>361</v>
      </c>
      <c r="M23" s="21" t="s">
        <v>354</v>
      </c>
      <c r="N23" s="21" t="s">
        <v>356</v>
      </c>
      <c r="O23" s="101"/>
      <c r="P23" s="101"/>
      <c r="Q23" s="101"/>
      <c r="R23" s="101"/>
      <c r="S23" s="101"/>
      <c r="T23" s="101"/>
      <c r="U23" s="101"/>
    </row>
    <row r="24" spans="1:22" x14ac:dyDescent="0.25">
      <c r="A24" s="19" t="s">
        <v>167</v>
      </c>
      <c r="B24" s="3">
        <v>80</v>
      </c>
      <c r="C24" s="3">
        <f t="shared" si="2"/>
        <v>12</v>
      </c>
      <c r="D24" s="3" t="s">
        <v>148</v>
      </c>
      <c r="E24" s="3"/>
      <c r="F24" s="3"/>
      <c r="G24" s="3"/>
      <c r="H24" s="3"/>
      <c r="I24" s="3" t="s">
        <v>94</v>
      </c>
      <c r="J24" s="3"/>
      <c r="O24" s="101"/>
      <c r="P24" s="101"/>
      <c r="Q24" s="101"/>
      <c r="R24" s="101"/>
      <c r="S24" s="101"/>
      <c r="T24" s="101"/>
      <c r="U24" s="101"/>
    </row>
    <row r="25" spans="1:22" x14ac:dyDescent="0.25">
      <c r="A25" s="19" t="s">
        <v>168</v>
      </c>
      <c r="B25" s="3">
        <v>80</v>
      </c>
      <c r="C25" s="3">
        <f t="shared" si="2"/>
        <v>13</v>
      </c>
      <c r="D25" s="3" t="s">
        <v>93</v>
      </c>
      <c r="E25" s="3"/>
      <c r="F25" s="3"/>
      <c r="G25" s="3"/>
      <c r="H25" s="3"/>
      <c r="I25" s="3" t="s">
        <v>94</v>
      </c>
      <c r="J25" s="3"/>
    </row>
    <row r="26" spans="1:22" x14ac:dyDescent="0.25">
      <c r="A26" s="19" t="s">
        <v>169</v>
      </c>
      <c r="B26" s="3">
        <v>80</v>
      </c>
      <c r="C26" s="3">
        <f t="shared" si="2"/>
        <v>14</v>
      </c>
      <c r="D26" s="3" t="s">
        <v>100</v>
      </c>
      <c r="E26" s="3"/>
      <c r="F26" s="3"/>
      <c r="G26" s="3"/>
      <c r="H26" s="3"/>
      <c r="I26" s="3" t="s">
        <v>101</v>
      </c>
      <c r="J26" s="3"/>
      <c r="K26" s="21" t="s">
        <v>353</v>
      </c>
      <c r="L26" s="21" t="s">
        <v>364</v>
      </c>
      <c r="M26" s="21" t="s">
        <v>354</v>
      </c>
      <c r="N26" s="21" t="s">
        <v>356</v>
      </c>
      <c r="O26" s="1" t="s">
        <v>170</v>
      </c>
    </row>
    <row r="27" spans="1:22" x14ac:dyDescent="0.25">
      <c r="A27" s="19" t="s">
        <v>171</v>
      </c>
      <c r="B27" s="3">
        <v>80</v>
      </c>
      <c r="C27" s="3">
        <f t="shared" si="2"/>
        <v>15</v>
      </c>
      <c r="D27" s="3" t="s">
        <v>100</v>
      </c>
      <c r="E27" s="3"/>
      <c r="F27" s="3"/>
      <c r="G27" s="3"/>
      <c r="H27" s="3"/>
      <c r="I27" s="3" t="s">
        <v>101</v>
      </c>
      <c r="J27" s="3"/>
      <c r="K27" s="21" t="s">
        <v>353</v>
      </c>
      <c r="L27" s="21" t="s">
        <v>365</v>
      </c>
      <c r="M27" s="21" t="s">
        <v>354</v>
      </c>
      <c r="N27" s="21" t="s">
        <v>356</v>
      </c>
      <c r="O27" s="1" t="s">
        <v>172</v>
      </c>
    </row>
    <row r="28" spans="1:22" x14ac:dyDescent="0.25">
      <c r="A28" s="19" t="s">
        <v>173</v>
      </c>
      <c r="B28" s="3">
        <v>80</v>
      </c>
      <c r="C28" s="3">
        <f t="shared" si="2"/>
        <v>16</v>
      </c>
      <c r="D28" s="3" t="s">
        <v>93</v>
      </c>
      <c r="E28" s="3"/>
      <c r="F28" s="3"/>
      <c r="G28" s="3"/>
      <c r="H28" s="3"/>
      <c r="I28" s="3" t="s">
        <v>101</v>
      </c>
      <c r="J28" s="3"/>
    </row>
    <row r="29" spans="1:22" x14ac:dyDescent="0.25">
      <c r="A29" s="19" t="s">
        <v>174</v>
      </c>
      <c r="B29" s="3">
        <v>80</v>
      </c>
      <c r="C29" s="3">
        <f t="shared" si="2"/>
        <v>17</v>
      </c>
      <c r="D29" s="3" t="s">
        <v>166</v>
      </c>
      <c r="E29" s="3"/>
      <c r="F29" s="3"/>
      <c r="G29" s="3"/>
      <c r="H29" s="3"/>
      <c r="I29" s="3" t="s">
        <v>101</v>
      </c>
      <c r="J29" s="3"/>
      <c r="O29" s="1" t="s">
        <v>175</v>
      </c>
    </row>
    <row r="30" spans="1:22" ht="15.75" customHeight="1" x14ac:dyDescent="0.25">
      <c r="A30" s="97" t="s">
        <v>136</v>
      </c>
      <c r="B30" s="97"/>
      <c r="C30" s="97"/>
      <c r="D30" s="97"/>
      <c r="E30" s="97"/>
      <c r="F30" s="97"/>
      <c r="G30" s="97"/>
      <c r="H30" s="97"/>
      <c r="I30" s="97"/>
      <c r="J30" s="97"/>
      <c r="K30" s="97"/>
      <c r="L30" s="97"/>
      <c r="M30" s="97"/>
      <c r="N30" s="97"/>
      <c r="O30" s="97"/>
      <c r="P30" s="97"/>
      <c r="Q30" s="97"/>
      <c r="R30" s="97"/>
      <c r="S30" s="97"/>
      <c r="T30" s="97"/>
      <c r="U30" s="97"/>
      <c r="V30" s="97"/>
    </row>
    <row r="31" spans="1:22" ht="60" x14ac:dyDescent="0.25">
      <c r="A31" s="19" t="s">
        <v>176</v>
      </c>
      <c r="B31" s="3">
        <v>80</v>
      </c>
      <c r="C31" s="3" t="s">
        <v>177</v>
      </c>
      <c r="D31" s="3" t="s">
        <v>132</v>
      </c>
      <c r="E31" s="3"/>
      <c r="F31" s="3"/>
      <c r="G31" s="3"/>
      <c r="H31" s="3"/>
      <c r="I31" s="3" t="s">
        <v>101</v>
      </c>
      <c r="J31" s="10" t="s">
        <v>178</v>
      </c>
      <c r="K31" s="21" t="s">
        <v>117</v>
      </c>
      <c r="L31" s="21"/>
      <c r="M31" s="21"/>
      <c r="N31" s="21"/>
    </row>
    <row r="32" spans="1:22" x14ac:dyDescent="0.25">
      <c r="A32" s="19" t="s">
        <v>179</v>
      </c>
      <c r="B32" s="3">
        <v>80</v>
      </c>
      <c r="C32" s="3" t="s">
        <v>180</v>
      </c>
      <c r="D32" s="3" t="s">
        <v>138</v>
      </c>
      <c r="E32" s="3"/>
      <c r="F32" s="3"/>
      <c r="G32" s="3"/>
      <c r="H32" s="3"/>
      <c r="I32" s="3" t="s">
        <v>94</v>
      </c>
      <c r="J32" s="3" t="s">
        <v>181</v>
      </c>
      <c r="K32" s="21" t="s">
        <v>117</v>
      </c>
      <c r="L32" s="21"/>
      <c r="M32" s="21"/>
      <c r="N32" s="21"/>
    </row>
    <row r="33" spans="1:14" x14ac:dyDescent="0.25">
      <c r="A33" s="19" t="s">
        <v>182</v>
      </c>
      <c r="B33" s="3">
        <v>80</v>
      </c>
      <c r="C33" s="3">
        <v>30</v>
      </c>
      <c r="D33" s="3" t="s">
        <v>138</v>
      </c>
      <c r="E33" s="3"/>
      <c r="F33" s="3"/>
      <c r="G33" s="3"/>
      <c r="H33" s="3"/>
      <c r="I33" s="3" t="s">
        <v>94</v>
      </c>
      <c r="J33" s="3"/>
      <c r="K33" s="21" t="s">
        <v>117</v>
      </c>
      <c r="L33" s="21"/>
      <c r="M33" s="21"/>
      <c r="N33" s="21"/>
    </row>
    <row r="34" spans="1:14" x14ac:dyDescent="0.25">
      <c r="A34" s="19" t="s">
        <v>183</v>
      </c>
      <c r="B34" s="3">
        <v>80</v>
      </c>
      <c r="C34" s="3">
        <v>31</v>
      </c>
      <c r="D34" s="3" t="s">
        <v>93</v>
      </c>
      <c r="E34" s="3"/>
      <c r="F34" s="3"/>
      <c r="G34" s="3"/>
      <c r="H34" s="3"/>
      <c r="I34" s="3" t="s">
        <v>94</v>
      </c>
      <c r="J34" s="3"/>
    </row>
    <row r="35" spans="1:14" x14ac:dyDescent="0.25">
      <c r="A35" s="19" t="s">
        <v>184</v>
      </c>
      <c r="B35" s="3">
        <v>80</v>
      </c>
      <c r="C35" s="3">
        <v>32</v>
      </c>
      <c r="D35" s="3" t="s">
        <v>166</v>
      </c>
      <c r="E35" s="3"/>
      <c r="F35" s="3"/>
      <c r="G35" s="3"/>
      <c r="H35" s="3"/>
      <c r="I35" s="3" t="s">
        <v>94</v>
      </c>
    </row>
    <row r="36" spans="1:14" x14ac:dyDescent="0.25">
      <c r="A36" s="19" t="s">
        <v>185</v>
      </c>
      <c r="B36" s="3">
        <v>80</v>
      </c>
      <c r="C36" s="3">
        <v>33</v>
      </c>
      <c r="D36" s="3" t="s">
        <v>166</v>
      </c>
      <c r="E36" s="3"/>
      <c r="F36" s="3"/>
      <c r="G36" s="3"/>
      <c r="H36" s="3"/>
      <c r="I36" s="3" t="s">
        <v>94</v>
      </c>
    </row>
    <row r="37" spans="1:14" x14ac:dyDescent="0.25">
      <c r="A37" s="19" t="s">
        <v>186</v>
      </c>
      <c r="B37" s="3">
        <v>80</v>
      </c>
      <c r="C37" s="3">
        <v>34</v>
      </c>
      <c r="D37" s="3" t="s">
        <v>166</v>
      </c>
      <c r="E37" s="3"/>
      <c r="F37" s="3"/>
      <c r="G37" s="3"/>
      <c r="H37" s="3"/>
      <c r="I37" s="3" t="s">
        <v>94</v>
      </c>
    </row>
    <row r="38" spans="1:14" x14ac:dyDescent="0.25">
      <c r="A38" s="19" t="s">
        <v>187</v>
      </c>
      <c r="B38" s="3">
        <v>80</v>
      </c>
      <c r="C38" s="3">
        <v>35</v>
      </c>
      <c r="D38" s="3" t="s">
        <v>166</v>
      </c>
      <c r="E38" s="3"/>
      <c r="F38" s="3"/>
      <c r="G38" s="3"/>
      <c r="H38" s="3"/>
      <c r="I38" s="3" t="s">
        <v>94</v>
      </c>
    </row>
    <row r="39" spans="1:14" x14ac:dyDescent="0.25">
      <c r="A39" s="19" t="s">
        <v>188</v>
      </c>
      <c r="B39" s="3">
        <v>80</v>
      </c>
      <c r="C39" s="3">
        <v>36</v>
      </c>
      <c r="D39" s="3" t="s">
        <v>166</v>
      </c>
      <c r="I39" s="3" t="s">
        <v>94</v>
      </c>
    </row>
    <row r="40" spans="1:14" x14ac:dyDescent="0.25">
      <c r="A40" s="19" t="s">
        <v>189</v>
      </c>
      <c r="B40" s="3">
        <v>80</v>
      </c>
      <c r="C40" s="3">
        <v>37</v>
      </c>
      <c r="D40" s="3" t="s">
        <v>166</v>
      </c>
      <c r="I40" s="3" t="s">
        <v>94</v>
      </c>
    </row>
    <row r="41" spans="1:14" x14ac:dyDescent="0.25">
      <c r="A41" s="19" t="s">
        <v>190</v>
      </c>
      <c r="B41" s="3">
        <v>80</v>
      </c>
      <c r="C41" s="3">
        <v>38</v>
      </c>
      <c r="D41" s="3" t="s">
        <v>166</v>
      </c>
      <c r="I41" s="3" t="s">
        <v>94</v>
      </c>
    </row>
    <row r="42" spans="1:14" x14ac:dyDescent="0.25">
      <c r="A42" s="19" t="s">
        <v>191</v>
      </c>
      <c r="B42" s="3">
        <v>80</v>
      </c>
      <c r="C42" s="3">
        <v>39</v>
      </c>
      <c r="D42" s="3" t="s">
        <v>166</v>
      </c>
      <c r="I42" s="3" t="s">
        <v>94</v>
      </c>
    </row>
    <row r="43" spans="1:14" x14ac:dyDescent="0.25">
      <c r="A43" s="19" t="s">
        <v>192</v>
      </c>
      <c r="B43" s="3">
        <v>80</v>
      </c>
      <c r="C43" s="3" t="s">
        <v>193</v>
      </c>
      <c r="D43" s="3" t="s">
        <v>166</v>
      </c>
      <c r="I43" s="3" t="s">
        <v>94</v>
      </c>
    </row>
    <row r="44" spans="1:14" x14ac:dyDescent="0.25">
      <c r="A44" s="19" t="s">
        <v>194</v>
      </c>
      <c r="B44" s="3">
        <v>80</v>
      </c>
      <c r="C44" s="3" t="s">
        <v>195</v>
      </c>
      <c r="D44" s="3" t="s">
        <v>166</v>
      </c>
      <c r="I44" s="3" t="s">
        <v>94</v>
      </c>
    </row>
    <row r="45" spans="1:14" x14ac:dyDescent="0.25">
      <c r="A45" s="19" t="s">
        <v>196</v>
      </c>
      <c r="B45" s="3">
        <v>80</v>
      </c>
      <c r="C45" s="3" t="s">
        <v>197</v>
      </c>
      <c r="D45" s="3" t="s">
        <v>166</v>
      </c>
      <c r="I45" s="3" t="s">
        <v>94</v>
      </c>
    </row>
    <row r="46" spans="1:14" x14ac:dyDescent="0.25">
      <c r="A46" s="19" t="s">
        <v>198</v>
      </c>
      <c r="B46" s="3">
        <v>80</v>
      </c>
      <c r="C46" s="3" t="s">
        <v>199</v>
      </c>
      <c r="D46" s="3" t="s">
        <v>166</v>
      </c>
      <c r="I46" s="3" t="s">
        <v>94</v>
      </c>
    </row>
    <row r="47" spans="1:14" ht="206.25" x14ac:dyDescent="0.25">
      <c r="A47" s="19" t="s">
        <v>200</v>
      </c>
      <c r="B47" s="3">
        <v>80</v>
      </c>
      <c r="C47" s="3" t="s">
        <v>201</v>
      </c>
      <c r="D47" s="3" t="s">
        <v>132</v>
      </c>
      <c r="I47" s="3" t="s">
        <v>94</v>
      </c>
      <c r="J47" s="10" t="s">
        <v>624</v>
      </c>
      <c r="K47" s="21" t="s">
        <v>117</v>
      </c>
      <c r="L47" s="21"/>
      <c r="M47" s="21"/>
      <c r="N47" s="21"/>
    </row>
    <row r="48" spans="1:14" x14ac:dyDescent="0.25">
      <c r="A48" s="19" t="s">
        <v>202</v>
      </c>
      <c r="B48" s="3">
        <v>80</v>
      </c>
      <c r="C48" s="3" t="s">
        <v>203</v>
      </c>
      <c r="D48" s="3" t="s">
        <v>100</v>
      </c>
      <c r="E48" s="3"/>
      <c r="F48" s="3"/>
      <c r="G48" s="3"/>
      <c r="H48" s="3"/>
      <c r="I48" s="3" t="s">
        <v>101</v>
      </c>
    </row>
    <row r="49" spans="1:14 1027:1027" ht="75" x14ac:dyDescent="0.25">
      <c r="A49" s="19" t="s">
        <v>204</v>
      </c>
      <c r="B49" s="3">
        <v>80</v>
      </c>
      <c r="C49" s="3">
        <v>40</v>
      </c>
      <c r="D49" s="3" t="s">
        <v>138</v>
      </c>
      <c r="I49" s="3" t="s">
        <v>101</v>
      </c>
      <c r="J49" s="10" t="s">
        <v>848</v>
      </c>
      <c r="K49" s="21" t="s">
        <v>117</v>
      </c>
      <c r="L49" s="21"/>
      <c r="M49" s="21"/>
      <c r="N49" s="21"/>
    </row>
    <row r="50" spans="1:14 1027:1027" ht="30" x14ac:dyDescent="0.25">
      <c r="A50" s="19" t="s">
        <v>431</v>
      </c>
      <c r="B50" s="3">
        <v>80</v>
      </c>
      <c r="C50" s="3">
        <v>41</v>
      </c>
      <c r="D50" s="3" t="s">
        <v>132</v>
      </c>
      <c r="I50" s="3" t="s">
        <v>101</v>
      </c>
      <c r="J50" s="10" t="s">
        <v>350</v>
      </c>
      <c r="K50" s="37"/>
      <c r="L50" s="37"/>
      <c r="M50" s="37"/>
      <c r="N50" s="37"/>
    </row>
    <row r="51" spans="1:14 1027:1027" ht="90" x14ac:dyDescent="0.25">
      <c r="A51" s="19" t="s">
        <v>623</v>
      </c>
      <c r="B51" s="3">
        <v>80</v>
      </c>
      <c r="C51" s="3">
        <v>42</v>
      </c>
      <c r="D51" s="3" t="s">
        <v>138</v>
      </c>
      <c r="E51" s="3"/>
      <c r="F51" s="3"/>
      <c r="G51" s="3"/>
      <c r="H51" s="3"/>
      <c r="I51" s="3" t="s">
        <v>94</v>
      </c>
      <c r="J51" s="10" t="s">
        <v>625</v>
      </c>
      <c r="AMM51"/>
    </row>
    <row r="52" spans="1:14 1027:1027" ht="120" x14ac:dyDescent="0.25">
      <c r="A52" s="19" t="s">
        <v>661</v>
      </c>
      <c r="B52" s="3">
        <v>80</v>
      </c>
      <c r="C52" s="3">
        <v>43</v>
      </c>
      <c r="D52" s="3" t="s">
        <v>138</v>
      </c>
      <c r="E52" s="3"/>
      <c r="F52" s="3"/>
      <c r="G52" s="3"/>
      <c r="H52" s="3"/>
      <c r="I52" s="3" t="s">
        <v>94</v>
      </c>
      <c r="J52" s="10" t="s">
        <v>662</v>
      </c>
    </row>
    <row r="53" spans="1:14 1027:1027" ht="30" x14ac:dyDescent="0.25">
      <c r="A53" s="19" t="s">
        <v>688</v>
      </c>
      <c r="B53" s="3">
        <v>80</v>
      </c>
      <c r="C53" s="3">
        <v>44</v>
      </c>
      <c r="D53" s="3" t="s">
        <v>138</v>
      </c>
      <c r="I53" s="3" t="s">
        <v>101</v>
      </c>
      <c r="J53" s="10" t="s">
        <v>687</v>
      </c>
      <c r="K53" s="21" t="s">
        <v>117</v>
      </c>
      <c r="L53" s="21"/>
      <c r="M53" s="21"/>
      <c r="N53" s="21"/>
    </row>
    <row r="54" spans="1:14 1027:1027" ht="30" x14ac:dyDescent="0.25">
      <c r="A54" s="19" t="s">
        <v>931</v>
      </c>
      <c r="B54" s="3">
        <v>80</v>
      </c>
      <c r="C54" s="3">
        <v>45</v>
      </c>
      <c r="D54" s="3" t="s">
        <v>141</v>
      </c>
      <c r="I54" s="3" t="s">
        <v>101</v>
      </c>
      <c r="J54" s="10" t="s">
        <v>932</v>
      </c>
      <c r="K54" s="21" t="s">
        <v>117</v>
      </c>
      <c r="L54" s="21"/>
      <c r="M54" s="21"/>
      <c r="N54" s="21"/>
    </row>
  </sheetData>
  <mergeCells count="8">
    <mergeCell ref="A1:J1"/>
    <mergeCell ref="A30:I30"/>
    <mergeCell ref="J30:V30"/>
    <mergeCell ref="A4:I4"/>
    <mergeCell ref="J4:V4"/>
    <mergeCell ref="A6:I6"/>
    <mergeCell ref="J6:V6"/>
    <mergeCell ref="O14:U24"/>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M157"/>
  <sheetViews>
    <sheetView zoomScale="98" zoomScaleNormal="100" workbookViewId="0">
      <pane xSplit="3" ySplit="4" topLeftCell="D11" activePane="bottomRight" state="frozen"/>
      <selection pane="topRight" activeCell="D1" sqref="D1"/>
      <selection pane="bottomLeft" activeCell="A3" sqref="A3"/>
      <selection pane="bottomRight" activeCell="A28" sqref="A28:K28"/>
    </sheetView>
  </sheetViews>
  <sheetFormatPr defaultColWidth="8.5703125" defaultRowHeight="15" x14ac:dyDescent="0.25"/>
  <cols>
    <col min="1" max="1" width="32.28515625" style="3" bestFit="1" customWidth="1"/>
    <col min="2" max="2" width="10" style="1" customWidth="1"/>
    <col min="3" max="3" width="8.28515625" style="1" customWidth="1"/>
    <col min="4" max="4" width="31.42578125" style="1" bestFit="1" customWidth="1"/>
    <col min="5" max="5" width="10.140625" style="1" bestFit="1" customWidth="1"/>
    <col min="6" max="6" width="9.7109375" style="1" bestFit="1" customWidth="1"/>
    <col min="7" max="7" width="14.7109375" style="1" customWidth="1"/>
    <col min="8" max="8" width="17.5703125" style="1" customWidth="1"/>
    <col min="9" max="9" width="4.7109375" style="1" customWidth="1"/>
    <col min="10" max="10" width="7" style="1" bestFit="1" customWidth="1"/>
    <col min="11" max="11" width="80" style="3" bestFit="1" customWidth="1"/>
    <col min="12" max="12" width="17" style="1" bestFit="1" customWidth="1"/>
    <col min="13" max="13" width="12.5703125" style="1" bestFit="1" customWidth="1"/>
    <col min="14" max="14" width="14.28515625" style="1" bestFit="1" customWidth="1"/>
    <col min="15" max="15" width="12.7109375" style="1" bestFit="1" customWidth="1"/>
    <col min="16" max="16384" width="8.5703125" style="1"/>
  </cols>
  <sheetData>
    <row r="1" spans="1:20" x14ac:dyDescent="0.25">
      <c r="A1" s="100" t="s">
        <v>780</v>
      </c>
      <c r="B1" s="100"/>
      <c r="C1" s="100"/>
      <c r="D1" s="100"/>
      <c r="E1" s="100"/>
      <c r="F1" s="100"/>
      <c r="G1" s="100"/>
      <c r="H1" s="100"/>
      <c r="I1" s="100"/>
      <c r="J1" s="100"/>
    </row>
    <row r="2" spans="1:20" x14ac:dyDescent="0.25">
      <c r="A2" s="3" t="s">
        <v>787</v>
      </c>
    </row>
    <row r="3" spans="1:20" x14ac:dyDescent="0.25">
      <c r="A3" s="14" t="s">
        <v>223</v>
      </c>
      <c r="B3" s="102" t="s">
        <v>496</v>
      </c>
      <c r="C3" s="103"/>
      <c r="D3" s="2" t="s">
        <v>83</v>
      </c>
      <c r="E3" s="15" t="s">
        <v>84</v>
      </c>
      <c r="F3" s="16" t="s">
        <v>85</v>
      </c>
      <c r="G3" s="16" t="s">
        <v>86</v>
      </c>
      <c r="H3" s="17" t="s">
        <v>87</v>
      </c>
      <c r="I3" s="18" t="s">
        <v>88</v>
      </c>
      <c r="J3" s="44" t="s">
        <v>487</v>
      </c>
      <c r="K3" s="3" t="s">
        <v>135</v>
      </c>
      <c r="L3" s="3" t="s">
        <v>351</v>
      </c>
      <c r="M3" s="3" t="s">
        <v>357</v>
      </c>
      <c r="N3" s="3" t="s">
        <v>352</v>
      </c>
      <c r="O3" s="3" t="s">
        <v>355</v>
      </c>
      <c r="P3" s="3"/>
      <c r="Q3" s="3"/>
      <c r="R3" s="3"/>
      <c r="S3" s="3"/>
      <c r="T3" s="3"/>
    </row>
    <row r="4" spans="1:20" customFormat="1" x14ac:dyDescent="0.25">
      <c r="A4" s="43" t="s">
        <v>89</v>
      </c>
      <c r="B4" s="60"/>
      <c r="C4" s="60"/>
      <c r="D4" s="60"/>
      <c r="E4" s="60"/>
      <c r="F4" s="60"/>
      <c r="G4" s="60"/>
      <c r="H4" s="60"/>
      <c r="I4" s="60"/>
      <c r="J4" s="82"/>
      <c r="K4" s="104"/>
      <c r="L4" s="105"/>
      <c r="M4" s="105"/>
      <c r="N4" s="105"/>
      <c r="O4" s="105"/>
      <c r="P4" s="105"/>
      <c r="Q4" s="105"/>
      <c r="R4" s="105"/>
      <c r="S4" s="105"/>
      <c r="T4" s="106"/>
    </row>
    <row r="5" spans="1:20" customFormat="1" x14ac:dyDescent="0.25">
      <c r="A5" s="41"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c r="L5" s="3"/>
      <c r="M5" s="3"/>
      <c r="N5" s="3"/>
      <c r="O5" s="3"/>
      <c r="P5" s="3"/>
      <c r="Q5" s="3"/>
      <c r="R5" s="3"/>
      <c r="S5" s="3"/>
      <c r="T5" s="3"/>
    </row>
    <row r="6" spans="1:20" customFormat="1" x14ac:dyDescent="0.25">
      <c r="A6" s="41"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3"/>
      <c r="L6" s="3"/>
      <c r="M6" s="3"/>
      <c r="N6" s="3"/>
      <c r="O6" s="3"/>
      <c r="P6" s="3"/>
      <c r="Q6" s="3"/>
      <c r="R6" s="3"/>
      <c r="S6" s="3"/>
      <c r="T6" s="3"/>
    </row>
    <row r="7" spans="1:20" customFormat="1" x14ac:dyDescent="0.25">
      <c r="A7" s="41"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c r="K7" s="3" t="s">
        <v>585</v>
      </c>
      <c r="L7" s="3"/>
      <c r="M7" s="3"/>
      <c r="N7" s="3"/>
      <c r="O7" s="3"/>
      <c r="P7" s="3"/>
      <c r="Q7" s="3"/>
      <c r="R7" s="3"/>
      <c r="S7" s="3"/>
      <c r="T7" s="3"/>
    </row>
    <row r="8" spans="1:20" customFormat="1" x14ac:dyDescent="0.25">
      <c r="A8" s="41"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c r="K8" s="3"/>
      <c r="L8" s="3"/>
      <c r="M8" s="3"/>
      <c r="N8" s="3"/>
      <c r="O8" s="3"/>
      <c r="P8" s="3"/>
      <c r="Q8" s="3"/>
      <c r="R8" s="3"/>
      <c r="S8" s="3"/>
      <c r="T8" s="3"/>
    </row>
    <row r="9" spans="1:20" customFormat="1" x14ac:dyDescent="0.25">
      <c r="A9" s="41"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94</v>
      </c>
      <c r="J9" s="3"/>
      <c r="K9" s="3" t="s">
        <v>586</v>
      </c>
      <c r="L9" s="3"/>
      <c r="M9" s="3"/>
      <c r="N9" s="3"/>
      <c r="O9" s="3"/>
      <c r="P9" s="3"/>
      <c r="Q9" s="3"/>
      <c r="R9" s="3"/>
      <c r="S9" s="3"/>
      <c r="T9" s="3"/>
    </row>
    <row r="10" spans="1:20" customFormat="1" x14ac:dyDescent="0.25">
      <c r="A10" s="46"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3"/>
      <c r="L10" s="3"/>
      <c r="M10" s="3"/>
      <c r="N10" s="3"/>
      <c r="O10" s="3"/>
      <c r="P10" s="3"/>
      <c r="Q10" s="3"/>
      <c r="R10" s="3"/>
      <c r="S10" s="3"/>
      <c r="T10" s="3"/>
    </row>
    <row r="11" spans="1:20" customFormat="1" ht="409.5" x14ac:dyDescent="0.25">
      <c r="A11" s="41"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t="s">
        <v>508</v>
      </c>
      <c r="K11" s="24" t="s">
        <v>734</v>
      </c>
      <c r="L11" s="3"/>
      <c r="M11" s="3"/>
      <c r="N11" s="3"/>
      <c r="O11" s="3"/>
      <c r="P11" s="3"/>
      <c r="Q11" s="3"/>
      <c r="R11" s="3"/>
      <c r="S11" s="3"/>
      <c r="T11" s="3"/>
    </row>
    <row r="12" spans="1:20" customFormat="1" x14ac:dyDescent="0.25">
      <c r="A12" s="46"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3"/>
      <c r="K12" s="3"/>
      <c r="L12" s="3"/>
      <c r="M12" s="3"/>
      <c r="N12" s="3"/>
      <c r="O12" s="3"/>
      <c r="P12" s="3"/>
      <c r="Q12" s="3"/>
      <c r="R12" s="3"/>
      <c r="S12" s="3"/>
      <c r="T12" s="3"/>
    </row>
    <row r="13" spans="1:20" customFormat="1" x14ac:dyDescent="0.25">
      <c r="A13" s="41" t="str">
        <f>IF('DATI LOGICI'!A11&lt;&gt;"",'DATI LOGICI'!A11,"")</f>
        <v>Temperatura scheda</v>
      </c>
      <c r="B13" s="3">
        <f>IF('DATI LOGICI'!B11&lt;&gt;"",'DATI LOGICI'!B11,"")</f>
        <v>0</v>
      </c>
      <c r="C13" s="3">
        <f>IF('DATI LOGICI'!C11&lt;&gt;"",'DATI LOGICI'!C11,"")</f>
        <v>8</v>
      </c>
      <c r="D13" s="3" t="s">
        <v>226</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3"/>
      <c r="K13" s="3" t="s">
        <v>924</v>
      </c>
      <c r="L13" s="3"/>
      <c r="M13" s="3"/>
      <c r="N13" s="3"/>
      <c r="O13" s="3"/>
      <c r="P13" s="3"/>
      <c r="Q13" s="3"/>
      <c r="R13" s="3"/>
      <c r="S13" s="3"/>
      <c r="T13" s="3"/>
    </row>
    <row r="14" spans="1:20" customFormat="1" x14ac:dyDescent="0.25">
      <c r="A14" s="41"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3"/>
      <c r="K14" s="3" t="s">
        <v>640</v>
      </c>
      <c r="L14" s="3"/>
      <c r="M14" s="3"/>
      <c r="N14" s="3"/>
      <c r="O14" s="3"/>
      <c r="P14" s="3"/>
      <c r="Q14" s="3"/>
      <c r="R14" s="3"/>
      <c r="S14" s="3"/>
      <c r="T14" s="3"/>
    </row>
    <row r="15" spans="1:20" customFormat="1" x14ac:dyDescent="0.25">
      <c r="A15" s="41"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3"/>
      <c r="K15" s="3" t="s">
        <v>641</v>
      </c>
      <c r="L15" s="3"/>
      <c r="M15" s="3"/>
      <c r="N15" s="3"/>
      <c r="O15" s="3"/>
      <c r="P15" s="3"/>
      <c r="Q15" s="3"/>
      <c r="R15" s="3"/>
      <c r="S15" s="3"/>
      <c r="T15" s="3"/>
    </row>
    <row r="16" spans="1:20" customFormat="1" x14ac:dyDescent="0.25">
      <c r="A16" s="41"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3"/>
      <c r="K16" s="3" t="s">
        <v>644</v>
      </c>
      <c r="L16" s="3"/>
      <c r="M16" s="3"/>
      <c r="N16" s="3"/>
      <c r="O16" s="3"/>
      <c r="P16" s="3"/>
      <c r="Q16" s="3"/>
      <c r="R16" s="3"/>
      <c r="S16" s="3"/>
      <c r="T16" s="3"/>
    </row>
    <row r="17" spans="1:20" customFormat="1" x14ac:dyDescent="0.25">
      <c r="A17" s="41"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3"/>
      <c r="K17" s="3" t="s">
        <v>645</v>
      </c>
      <c r="L17" s="3"/>
      <c r="M17" s="3"/>
      <c r="N17" s="3"/>
      <c r="O17" s="3"/>
      <c r="P17" s="3"/>
      <c r="Q17" s="3"/>
      <c r="R17" s="3"/>
      <c r="S17" s="3"/>
      <c r="T17" s="3"/>
    </row>
    <row r="18" spans="1:20" customFormat="1" x14ac:dyDescent="0.25">
      <c r="A18" s="41"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3"/>
      <c r="K18" s="3" t="s">
        <v>646</v>
      </c>
      <c r="L18" s="3"/>
      <c r="M18" s="3"/>
      <c r="N18" s="3"/>
      <c r="O18" s="3"/>
      <c r="P18" s="3"/>
      <c r="Q18" s="3"/>
      <c r="R18" s="3"/>
      <c r="S18" s="3"/>
      <c r="T18" s="3"/>
    </row>
    <row r="19" spans="1:20" customFormat="1" x14ac:dyDescent="0.25">
      <c r="A19" s="41"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3"/>
      <c r="K19" s="3" t="s">
        <v>647</v>
      </c>
      <c r="L19" s="3"/>
      <c r="M19" s="3"/>
      <c r="N19" s="3"/>
      <c r="O19" s="3"/>
      <c r="P19" s="3"/>
      <c r="Q19" s="3"/>
      <c r="R19" s="3"/>
      <c r="S19" s="3"/>
      <c r="T19" s="3"/>
    </row>
    <row r="20" spans="1:20" customFormat="1" x14ac:dyDescent="0.25">
      <c r="A20" s="41"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v>0</v>
      </c>
      <c r="G20" s="3">
        <v>100</v>
      </c>
      <c r="H20" s="3" t="s">
        <v>649</v>
      </c>
      <c r="I20" s="3" t="str">
        <f>IF('DATI LOGICI'!I18&lt;&gt;"",'DATI LOGICI'!I18,"")</f>
        <v>R</v>
      </c>
      <c r="J20" s="3"/>
      <c r="K20" s="3" t="s">
        <v>648</v>
      </c>
      <c r="L20" s="3"/>
      <c r="M20" s="3"/>
      <c r="N20" s="3"/>
      <c r="O20" s="3"/>
      <c r="P20" s="3"/>
      <c r="Q20" s="3"/>
      <c r="R20" s="3"/>
      <c r="S20" s="3"/>
      <c r="T20" s="3"/>
    </row>
    <row r="21" spans="1:20" customFormat="1" x14ac:dyDescent="0.25">
      <c r="A21" s="49"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3"/>
      <c r="K21" s="3"/>
      <c r="L21" s="3"/>
      <c r="M21" s="3"/>
      <c r="N21" s="3"/>
      <c r="O21" s="3"/>
      <c r="P21" s="3"/>
      <c r="Q21" s="3"/>
      <c r="R21" s="3"/>
      <c r="S21" s="3"/>
      <c r="T21" s="3"/>
    </row>
    <row r="22" spans="1:20" customFormat="1" x14ac:dyDescent="0.25">
      <c r="A22" s="49"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3"/>
      <c r="K22" s="3"/>
      <c r="L22" s="3"/>
      <c r="M22" s="3"/>
      <c r="N22" s="3"/>
      <c r="O22" s="3"/>
      <c r="P22" s="3"/>
      <c r="Q22" s="3"/>
      <c r="R22" s="3"/>
      <c r="S22" s="3"/>
      <c r="T22" s="3"/>
    </row>
    <row r="23" spans="1:20" customFormat="1" x14ac:dyDescent="0.25">
      <c r="A23" s="49"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3"/>
      <c r="K23" s="3"/>
      <c r="L23" s="3"/>
      <c r="M23" s="3"/>
      <c r="N23" s="3"/>
      <c r="O23" s="3"/>
      <c r="P23" s="3"/>
      <c r="Q23" s="3"/>
      <c r="R23" s="3"/>
      <c r="S23" s="3"/>
      <c r="T23" s="3"/>
    </row>
    <row r="24" spans="1:20" customFormat="1" x14ac:dyDescent="0.25">
      <c r="A24" s="49"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3"/>
      <c r="K24" s="3"/>
      <c r="L24" s="3"/>
      <c r="M24" s="3"/>
      <c r="N24" s="3"/>
      <c r="O24" s="3"/>
      <c r="P24" s="3"/>
      <c r="Q24" s="3"/>
      <c r="R24" s="3"/>
      <c r="S24" s="3"/>
      <c r="T24" s="3"/>
    </row>
    <row r="25" spans="1:20" customFormat="1" x14ac:dyDescent="0.25">
      <c r="A25" s="49"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3"/>
      <c r="K25" s="3"/>
      <c r="L25" s="3"/>
      <c r="M25" s="3"/>
      <c r="N25" s="3"/>
      <c r="O25" s="3"/>
      <c r="P25" s="3"/>
      <c r="Q25" s="3"/>
      <c r="R25" s="3"/>
      <c r="S25" s="3"/>
      <c r="T25" s="3"/>
    </row>
    <row r="26" spans="1:20" customFormat="1" ht="180" x14ac:dyDescent="0.25">
      <c r="A26" s="41"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3"/>
      <c r="K26" s="10" t="s">
        <v>853</v>
      </c>
      <c r="L26" s="3"/>
      <c r="M26" s="3"/>
      <c r="N26" s="3"/>
      <c r="O26" s="3"/>
      <c r="P26" s="3"/>
      <c r="Q26" s="3"/>
      <c r="R26" s="3"/>
      <c r="S26" s="3"/>
      <c r="T26" s="3"/>
    </row>
    <row r="27" spans="1:20" customFormat="1" ht="180" x14ac:dyDescent="0.25">
      <c r="A27" s="41"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J27" s="3"/>
      <c r="K27" s="10" t="s">
        <v>803</v>
      </c>
      <c r="L27" s="3"/>
      <c r="M27" s="3"/>
      <c r="N27" s="3"/>
      <c r="O27" s="3"/>
      <c r="P27" s="3"/>
      <c r="Q27" s="3"/>
      <c r="R27" s="3"/>
      <c r="S27" s="3"/>
      <c r="T27" s="3"/>
    </row>
    <row r="28" spans="1:20" customFormat="1" x14ac:dyDescent="0.25">
      <c r="A28" s="41" t="str">
        <f>IF('DATI LOGICI'!A26&lt;&gt;"",'DATI LOGICI'!A26,"")</f>
        <v>Firmware Bootloader</v>
      </c>
      <c r="B28" s="3">
        <f>IF('DATI LOGICI'!B26&lt;&gt;"",'DATI LOGICI'!B26,"")</f>
        <v>0</v>
      </c>
      <c r="C28" s="3">
        <f>IF('DATI LOGICI'!C26&lt;&gt;"",'DATI LOGICI'!C26,"")</f>
        <v>17</v>
      </c>
      <c r="D28" s="3" t="str">
        <f>IF('DATI LOGICI'!D26&lt;&gt;"",'DATI LOGICI'!D26,"")</f>
        <v xml:space="preserve">uint16_t </v>
      </c>
      <c r="E28" s="3" t="str">
        <f>IF('DATI LOGICI'!E26&lt;&gt;"",'DATI LOGICI'!E26,"")</f>
        <v>255.255</v>
      </c>
      <c r="F28" s="3">
        <f>IF('DATI LOGICI'!F26&lt;&gt;"",'DATI LOGICI'!F26,"")</f>
        <v>0</v>
      </c>
      <c r="G28" s="3" t="str">
        <f>IF('DATI LOGICI'!G26&lt;&gt;"",'DATI LOGICI'!G26,"")</f>
        <v>255.255</v>
      </c>
      <c r="H28" s="3" t="str">
        <f>IF('DATI LOGICI'!H26&lt;&gt;"",'DATI LOGICI'!H26,"")</f>
        <v/>
      </c>
      <c r="I28" s="3" t="str">
        <f>IF('DATI LOGICI'!I26&lt;&gt;"",'DATI LOGICI'!I26,"")</f>
        <v>R</v>
      </c>
      <c r="J28" s="3"/>
      <c r="K28" s="10"/>
      <c r="L28" s="3"/>
      <c r="M28" s="3"/>
      <c r="N28" s="3"/>
      <c r="O28" s="3"/>
      <c r="P28" s="3"/>
      <c r="Q28" s="3"/>
      <c r="R28" s="3"/>
      <c r="S28" s="3"/>
      <c r="T28" s="3"/>
    </row>
    <row r="29" spans="1:20" x14ac:dyDescent="0.25">
      <c r="B29" s="3"/>
      <c r="C29" s="3"/>
      <c r="D29" s="3"/>
      <c r="E29" s="3"/>
      <c r="F29" s="3"/>
      <c r="G29" s="3"/>
      <c r="H29" s="3"/>
      <c r="I29" s="3"/>
      <c r="J29" s="3"/>
      <c r="L29" s="3"/>
      <c r="M29" s="3"/>
      <c r="N29" s="3"/>
      <c r="O29" s="3"/>
      <c r="P29" s="3"/>
      <c r="Q29" s="3"/>
      <c r="R29" s="3"/>
      <c r="S29" s="3"/>
      <c r="T29" s="3"/>
    </row>
    <row r="30" spans="1:20" x14ac:dyDescent="0.25">
      <c r="A30" s="43" t="s">
        <v>507</v>
      </c>
      <c r="B30" s="60"/>
      <c r="C30" s="60"/>
      <c r="D30" s="60"/>
      <c r="E30" s="60"/>
      <c r="F30" s="60"/>
      <c r="G30" s="60"/>
      <c r="H30" s="60"/>
      <c r="I30" s="60"/>
      <c r="J30" s="60"/>
      <c r="K30" s="104"/>
      <c r="L30" s="105"/>
      <c r="M30" s="105"/>
      <c r="N30" s="105"/>
      <c r="O30" s="105"/>
      <c r="P30" s="105"/>
      <c r="Q30" s="105"/>
      <c r="R30" s="105"/>
      <c r="S30" s="105"/>
      <c r="T30" s="106"/>
    </row>
    <row r="31" spans="1:20" ht="30" x14ac:dyDescent="0.25">
      <c r="A31" s="19" t="s">
        <v>854</v>
      </c>
      <c r="B31" s="3">
        <v>80</v>
      </c>
      <c r="C31" s="81" t="str">
        <f>DEC2HEX(0)</f>
        <v>0</v>
      </c>
      <c r="D31" s="3" t="s">
        <v>138</v>
      </c>
      <c r="E31" s="3"/>
      <c r="F31" s="3"/>
      <c r="G31" s="3"/>
      <c r="H31" s="3"/>
      <c r="I31" s="3" t="s">
        <v>104</v>
      </c>
      <c r="J31" s="3"/>
      <c r="K31" s="10" t="s">
        <v>589</v>
      </c>
      <c r="L31" s="3"/>
      <c r="M31" s="3"/>
      <c r="N31" s="3"/>
      <c r="O31" s="3"/>
      <c r="P31" s="3"/>
      <c r="Q31" s="3"/>
      <c r="R31" s="3"/>
      <c r="S31" s="3"/>
      <c r="T31" s="3"/>
    </row>
    <row r="32" spans="1:20" x14ac:dyDescent="0.25">
      <c r="A32" s="19" t="s">
        <v>224</v>
      </c>
      <c r="B32" s="3">
        <v>80</v>
      </c>
      <c r="C32" s="81" t="str">
        <f>DEC2HEX(HEX2DEC(C31)+1)</f>
        <v>1</v>
      </c>
      <c r="D32" s="3" t="s">
        <v>141</v>
      </c>
      <c r="E32" s="3"/>
      <c r="F32" s="3">
        <v>0</v>
      </c>
      <c r="G32" s="3">
        <v>1</v>
      </c>
      <c r="H32" s="3"/>
      <c r="I32" s="3" t="s">
        <v>94</v>
      </c>
      <c r="J32" s="3"/>
      <c r="K32" s="3" t="s">
        <v>654</v>
      </c>
      <c r="L32" s="3"/>
      <c r="M32" s="3"/>
      <c r="N32" s="3"/>
      <c r="O32" s="3"/>
      <c r="P32" s="3"/>
      <c r="Q32" s="3"/>
      <c r="R32" s="3"/>
      <c r="S32" s="3"/>
      <c r="T32" s="3"/>
    </row>
    <row r="33" spans="1:1027" ht="60" x14ac:dyDescent="0.25">
      <c r="A33" s="19" t="s">
        <v>579</v>
      </c>
      <c r="B33" s="3">
        <v>80</v>
      </c>
      <c r="C33" s="81" t="str">
        <f>DEC2HEX(HEX2DEC(C32)+1)</f>
        <v>2</v>
      </c>
      <c r="D33" s="3" t="s">
        <v>226</v>
      </c>
      <c r="E33" s="3"/>
      <c r="F33" s="3"/>
      <c r="G33" s="3"/>
      <c r="H33" s="3" t="s">
        <v>227</v>
      </c>
      <c r="I33" s="3" t="s">
        <v>94</v>
      </c>
      <c r="J33" s="3"/>
      <c r="K33" s="10" t="s">
        <v>590</v>
      </c>
      <c r="L33" s="3"/>
      <c r="M33" s="3"/>
      <c r="N33" s="3"/>
      <c r="O33" s="3"/>
      <c r="P33" s="3"/>
      <c r="Q33" s="3"/>
      <c r="R33" s="3"/>
      <c r="S33" s="3"/>
      <c r="T33" s="3"/>
    </row>
    <row r="34" spans="1:1027" x14ac:dyDescent="0.25">
      <c r="A34" s="19" t="s">
        <v>228</v>
      </c>
      <c r="B34" s="3">
        <v>80</v>
      </c>
      <c r="C34" s="81" t="str">
        <f>DEC2HEX(HEX2DEC(C33)+1)</f>
        <v>3</v>
      </c>
      <c r="D34" s="3" t="s">
        <v>226</v>
      </c>
      <c r="E34" s="3"/>
      <c r="F34" s="3"/>
      <c r="G34" s="3"/>
      <c r="H34" s="3" t="s">
        <v>227</v>
      </c>
      <c r="I34" s="3" t="s">
        <v>94</v>
      </c>
      <c r="J34" s="3"/>
      <c r="K34" s="3" t="s">
        <v>229</v>
      </c>
      <c r="L34" s="3"/>
      <c r="M34" s="3"/>
      <c r="N34" s="3"/>
      <c r="O34" s="3"/>
      <c r="P34" s="3"/>
      <c r="Q34" s="3"/>
      <c r="R34" s="3"/>
      <c r="S34" s="3"/>
      <c r="T34" s="3"/>
    </row>
    <row r="35" spans="1:1027" x14ac:dyDescent="0.25">
      <c r="A35" s="19" t="s">
        <v>309</v>
      </c>
      <c r="B35" s="3">
        <v>80</v>
      </c>
      <c r="C35" s="81" t="str">
        <f t="shared" ref="C35:C98" si="0">DEC2HEX(HEX2DEC(C34)+1)</f>
        <v>4</v>
      </c>
      <c r="D35" s="3" t="s">
        <v>138</v>
      </c>
      <c r="E35" s="3"/>
      <c r="F35" s="3"/>
      <c r="G35" s="3"/>
      <c r="H35" s="3"/>
      <c r="I35" s="3"/>
      <c r="J35" s="3"/>
      <c r="K35" s="3" t="s">
        <v>310</v>
      </c>
      <c r="L35" s="3"/>
      <c r="M35" s="3"/>
      <c r="N35" s="3"/>
      <c r="O35" s="3"/>
      <c r="P35" s="3"/>
      <c r="Q35" s="3"/>
      <c r="R35" s="3"/>
      <c r="S35" s="3"/>
      <c r="T35" s="3"/>
    </row>
    <row r="36" spans="1:1027" x14ac:dyDescent="0.25">
      <c r="A36" s="19" t="s">
        <v>666</v>
      </c>
      <c r="B36" s="3">
        <v>80</v>
      </c>
      <c r="C36" s="81" t="str">
        <f t="shared" si="0"/>
        <v>5</v>
      </c>
      <c r="D36" s="3" t="s">
        <v>241</v>
      </c>
      <c r="F36" s="3">
        <v>0</v>
      </c>
      <c r="G36" s="3">
        <v>65535</v>
      </c>
      <c r="H36" s="3" t="s">
        <v>643</v>
      </c>
      <c r="I36" s="3" t="s">
        <v>88</v>
      </c>
      <c r="K36" s="3" t="s">
        <v>668</v>
      </c>
      <c r="L36" s="3"/>
      <c r="M36" s="3"/>
      <c r="N36" s="3"/>
      <c r="O36" s="3"/>
      <c r="P36" s="3"/>
      <c r="Q36" s="3"/>
      <c r="R36" s="3"/>
      <c r="S36" s="3"/>
      <c r="T36" s="3"/>
    </row>
    <row r="37" spans="1:1027" x14ac:dyDescent="0.25">
      <c r="A37" s="19" t="s">
        <v>665</v>
      </c>
      <c r="B37" s="3">
        <v>80</v>
      </c>
      <c r="C37" s="81" t="str">
        <f t="shared" si="0"/>
        <v>6</v>
      </c>
      <c r="D37" s="3" t="s">
        <v>241</v>
      </c>
      <c r="F37" s="3">
        <v>0</v>
      </c>
      <c r="G37" s="3">
        <v>65535</v>
      </c>
      <c r="H37" s="3" t="s">
        <v>643</v>
      </c>
      <c r="I37" s="3" t="s">
        <v>88</v>
      </c>
      <c r="K37" s="3" t="s">
        <v>667</v>
      </c>
      <c r="L37" s="3"/>
      <c r="M37" s="3"/>
      <c r="N37" s="3"/>
      <c r="O37" s="3"/>
      <c r="P37" s="3"/>
      <c r="Q37" s="3"/>
      <c r="R37" s="3"/>
      <c r="S37" s="3"/>
      <c r="T37" s="3"/>
    </row>
    <row r="38" spans="1:1027" customFormat="1" x14ac:dyDescent="0.25">
      <c r="A38" s="19" t="s">
        <v>664</v>
      </c>
      <c r="B38" s="3">
        <v>80</v>
      </c>
      <c r="C38" s="81" t="str">
        <f t="shared" si="0"/>
        <v>7</v>
      </c>
      <c r="D38" s="3" t="s">
        <v>241</v>
      </c>
      <c r="E38" s="1"/>
      <c r="F38" s="3">
        <v>0</v>
      </c>
      <c r="G38" s="3">
        <v>65535</v>
      </c>
      <c r="H38" s="3" t="s">
        <v>643</v>
      </c>
      <c r="I38" s="3" t="s">
        <v>88</v>
      </c>
      <c r="J38" s="1"/>
      <c r="K38" s="3" t="s">
        <v>668</v>
      </c>
      <c r="L38" s="3"/>
      <c r="M38" s="3"/>
      <c r="N38" s="3"/>
      <c r="O38" s="3"/>
      <c r="P38" s="3"/>
      <c r="Q38" s="3"/>
      <c r="R38" s="3"/>
      <c r="S38" s="3"/>
      <c r="T38" s="3"/>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c r="NP38" s="1"/>
      <c r="NQ38" s="1"/>
      <c r="NR38" s="1"/>
      <c r="NS38" s="1"/>
      <c r="NT38" s="1"/>
      <c r="NU38" s="1"/>
      <c r="NV38" s="1"/>
      <c r="NW38" s="1"/>
      <c r="NX38" s="1"/>
      <c r="NY38" s="1"/>
      <c r="NZ38" s="1"/>
      <c r="OA38" s="1"/>
      <c r="OB38" s="1"/>
      <c r="OC38" s="1"/>
      <c r="OD38" s="1"/>
      <c r="OE38" s="1"/>
      <c r="OF38" s="1"/>
      <c r="OG38" s="1"/>
      <c r="OH38" s="1"/>
      <c r="OI38" s="1"/>
      <c r="OJ38" s="1"/>
      <c r="OK38" s="1"/>
      <c r="OL38" s="1"/>
      <c r="OM38" s="1"/>
      <c r="ON38" s="1"/>
      <c r="OO38" s="1"/>
      <c r="OP38" s="1"/>
      <c r="OQ38" s="1"/>
      <c r="OR38" s="1"/>
      <c r="OS38" s="1"/>
      <c r="OT38" s="1"/>
      <c r="OU38" s="1"/>
      <c r="OV38" s="1"/>
      <c r="OW38" s="1"/>
      <c r="OX38" s="1"/>
      <c r="OY38" s="1"/>
      <c r="OZ38" s="1"/>
      <c r="PA38" s="1"/>
      <c r="PB38" s="1"/>
      <c r="PC38" s="1"/>
      <c r="PD38" s="1"/>
      <c r="PE38" s="1"/>
      <c r="PF38" s="1"/>
      <c r="PG38" s="1"/>
      <c r="PH38" s="1"/>
      <c r="PI38" s="1"/>
      <c r="PJ38" s="1"/>
      <c r="PK38" s="1"/>
      <c r="PL38" s="1"/>
      <c r="PM38" s="1"/>
      <c r="PN38" s="1"/>
      <c r="PO38" s="1"/>
      <c r="PP38" s="1"/>
      <c r="PQ38" s="1"/>
      <c r="PR38" s="1"/>
      <c r="PS38" s="1"/>
      <c r="PT38" s="1"/>
      <c r="PU38" s="1"/>
      <c r="PV38" s="1"/>
      <c r="PW38" s="1"/>
      <c r="PX38" s="1"/>
      <c r="PY38" s="1"/>
      <c r="PZ38" s="1"/>
      <c r="QA38" s="1"/>
      <c r="QB38" s="1"/>
      <c r="QC38" s="1"/>
      <c r="QD38" s="1"/>
      <c r="QE38" s="1"/>
      <c r="QF38" s="1"/>
      <c r="QG38" s="1"/>
      <c r="QH38" s="1"/>
      <c r="QI38" s="1"/>
      <c r="QJ38" s="1"/>
      <c r="QK38" s="1"/>
      <c r="QL38" s="1"/>
      <c r="QM38" s="1"/>
      <c r="QN38" s="1"/>
      <c r="QO38" s="1"/>
      <c r="QP38" s="1"/>
      <c r="QQ38" s="1"/>
      <c r="QR38" s="1"/>
      <c r="QS38" s="1"/>
      <c r="QT38" s="1"/>
      <c r="QU38" s="1"/>
      <c r="QV38" s="1"/>
      <c r="QW38" s="1"/>
      <c r="QX38" s="1"/>
      <c r="QY38" s="1"/>
      <c r="QZ38" s="1"/>
      <c r="RA38" s="1"/>
      <c r="RB38" s="1"/>
      <c r="RC38" s="1"/>
      <c r="RD38" s="1"/>
      <c r="RE38" s="1"/>
      <c r="RF38" s="1"/>
      <c r="RG38" s="1"/>
      <c r="RH38" s="1"/>
      <c r="RI38" s="1"/>
      <c r="RJ38" s="1"/>
      <c r="RK38" s="1"/>
      <c r="RL38" s="1"/>
      <c r="RM38" s="1"/>
      <c r="RN38" s="1"/>
      <c r="RO38" s="1"/>
      <c r="RP38" s="1"/>
      <c r="RQ38" s="1"/>
      <c r="RR38" s="1"/>
      <c r="RS38" s="1"/>
      <c r="RT38" s="1"/>
      <c r="RU38" s="1"/>
      <c r="RV38" s="1"/>
      <c r="RW38" s="1"/>
      <c r="RX38" s="1"/>
      <c r="RY38" s="1"/>
      <c r="RZ38" s="1"/>
      <c r="SA38" s="1"/>
      <c r="SB38" s="1"/>
      <c r="SC38" s="1"/>
      <c r="SD38" s="1"/>
      <c r="SE38" s="1"/>
      <c r="SF38" s="1"/>
      <c r="SG38" s="1"/>
      <c r="SH38" s="1"/>
      <c r="SI38" s="1"/>
      <c r="SJ38" s="1"/>
      <c r="SK38" s="1"/>
      <c r="SL38" s="1"/>
      <c r="SM38" s="1"/>
      <c r="SN38" s="1"/>
      <c r="SO38" s="1"/>
      <c r="SP38" s="1"/>
      <c r="SQ38" s="1"/>
      <c r="SR38" s="1"/>
      <c r="SS38" s="1"/>
      <c r="ST38" s="1"/>
      <c r="SU38" s="1"/>
      <c r="SV38" s="1"/>
      <c r="SW38" s="1"/>
      <c r="SX38" s="1"/>
      <c r="SY38" s="1"/>
      <c r="SZ38" s="1"/>
      <c r="TA38" s="1"/>
      <c r="TB38" s="1"/>
      <c r="TC38" s="1"/>
      <c r="TD38" s="1"/>
      <c r="TE38" s="1"/>
      <c r="TF38" s="1"/>
      <c r="TG38" s="1"/>
      <c r="TH38" s="1"/>
      <c r="TI38" s="1"/>
      <c r="TJ38" s="1"/>
      <c r="TK38" s="1"/>
      <c r="TL38" s="1"/>
      <c r="TM38" s="1"/>
      <c r="TN38" s="1"/>
      <c r="TO38" s="1"/>
      <c r="TP38" s="1"/>
      <c r="TQ38" s="1"/>
      <c r="TR38" s="1"/>
      <c r="TS38" s="1"/>
      <c r="TT38" s="1"/>
      <c r="TU38" s="1"/>
      <c r="TV38" s="1"/>
      <c r="TW38" s="1"/>
      <c r="TX38" s="1"/>
      <c r="TY38" s="1"/>
      <c r="TZ38" s="1"/>
      <c r="UA38" s="1"/>
      <c r="UB38" s="1"/>
      <c r="UC38" s="1"/>
      <c r="UD38" s="1"/>
      <c r="UE38" s="1"/>
      <c r="UF38" s="1"/>
      <c r="UG38" s="1"/>
      <c r="UH38" s="1"/>
      <c r="UI38" s="1"/>
      <c r="UJ38" s="1"/>
      <c r="UK38" s="1"/>
      <c r="UL38" s="1"/>
      <c r="UM38" s="1"/>
      <c r="UN38" s="1"/>
      <c r="UO38" s="1"/>
      <c r="UP38" s="1"/>
      <c r="UQ38" s="1"/>
      <c r="UR38" s="1"/>
      <c r="US38" s="1"/>
      <c r="UT38" s="1"/>
      <c r="UU38" s="1"/>
      <c r="UV38" s="1"/>
      <c r="UW38" s="1"/>
      <c r="UX38" s="1"/>
      <c r="UY38" s="1"/>
      <c r="UZ38" s="1"/>
      <c r="VA38" s="1"/>
      <c r="VB38" s="1"/>
      <c r="VC38" s="1"/>
      <c r="VD38" s="1"/>
      <c r="VE38" s="1"/>
      <c r="VF38" s="1"/>
      <c r="VG38" s="1"/>
      <c r="VH38" s="1"/>
      <c r="VI38" s="1"/>
      <c r="VJ38" s="1"/>
      <c r="VK38" s="1"/>
      <c r="VL38" s="1"/>
      <c r="VM38" s="1"/>
      <c r="VN38" s="1"/>
      <c r="VO38" s="1"/>
      <c r="VP38" s="1"/>
      <c r="VQ38" s="1"/>
      <c r="VR38" s="1"/>
      <c r="VS38" s="1"/>
      <c r="VT38" s="1"/>
      <c r="VU38" s="1"/>
      <c r="VV38" s="1"/>
      <c r="VW38" s="1"/>
      <c r="VX38" s="1"/>
      <c r="VY38" s="1"/>
      <c r="VZ38" s="1"/>
      <c r="WA38" s="1"/>
      <c r="WB38" s="1"/>
      <c r="WC38" s="1"/>
      <c r="WD38" s="1"/>
      <c r="WE38" s="1"/>
      <c r="WF38" s="1"/>
      <c r="WG38" s="1"/>
      <c r="WH38" s="1"/>
      <c r="WI38" s="1"/>
      <c r="WJ38" s="1"/>
      <c r="WK38" s="1"/>
      <c r="WL38" s="1"/>
      <c r="WM38" s="1"/>
      <c r="WN38" s="1"/>
      <c r="WO38" s="1"/>
      <c r="WP38" s="1"/>
      <c r="WQ38" s="1"/>
      <c r="WR38" s="1"/>
      <c r="WS38" s="1"/>
      <c r="WT38" s="1"/>
      <c r="WU38" s="1"/>
      <c r="WV38" s="1"/>
      <c r="WW38" s="1"/>
      <c r="WX38" s="1"/>
      <c r="WY38" s="1"/>
      <c r="WZ38" s="1"/>
      <c r="XA38" s="1"/>
      <c r="XB38" s="1"/>
      <c r="XC38" s="1"/>
      <c r="XD38" s="1"/>
      <c r="XE38" s="1"/>
      <c r="XF38" s="1"/>
      <c r="XG38" s="1"/>
      <c r="XH38" s="1"/>
      <c r="XI38" s="1"/>
      <c r="XJ38" s="1"/>
      <c r="XK38" s="1"/>
      <c r="XL38" s="1"/>
      <c r="XM38" s="1"/>
      <c r="XN38" s="1"/>
      <c r="XO38" s="1"/>
      <c r="XP38" s="1"/>
      <c r="XQ38" s="1"/>
      <c r="XR38" s="1"/>
      <c r="XS38" s="1"/>
      <c r="XT38" s="1"/>
      <c r="XU38" s="1"/>
      <c r="XV38" s="1"/>
      <c r="XW38" s="1"/>
      <c r="XX38" s="1"/>
      <c r="XY38" s="1"/>
      <c r="XZ38" s="1"/>
      <c r="YA38" s="1"/>
      <c r="YB38" s="1"/>
      <c r="YC38" s="1"/>
      <c r="YD38" s="1"/>
      <c r="YE38" s="1"/>
      <c r="YF38" s="1"/>
      <c r="YG38" s="1"/>
      <c r="YH38" s="1"/>
      <c r="YI38" s="1"/>
      <c r="YJ38" s="1"/>
      <c r="YK38" s="1"/>
      <c r="YL38" s="1"/>
      <c r="YM38" s="1"/>
      <c r="YN38" s="1"/>
      <c r="YO38" s="1"/>
      <c r="YP38" s="1"/>
      <c r="YQ38" s="1"/>
      <c r="YR38" s="1"/>
      <c r="YS38" s="1"/>
      <c r="YT38" s="1"/>
      <c r="YU38" s="1"/>
      <c r="YV38" s="1"/>
      <c r="YW38" s="1"/>
      <c r="YX38" s="1"/>
      <c r="YY38" s="1"/>
      <c r="YZ38" s="1"/>
      <c r="ZA38" s="1"/>
      <c r="ZB38" s="1"/>
      <c r="ZC38" s="1"/>
      <c r="ZD38" s="1"/>
      <c r="ZE38" s="1"/>
      <c r="ZF38" s="1"/>
      <c r="ZG38" s="1"/>
      <c r="ZH38" s="1"/>
      <c r="ZI38" s="1"/>
      <c r="ZJ38" s="1"/>
      <c r="ZK38" s="1"/>
      <c r="ZL38" s="1"/>
      <c r="ZM38" s="1"/>
      <c r="ZN38" s="1"/>
      <c r="ZO38" s="1"/>
      <c r="ZP38" s="1"/>
      <c r="ZQ38" s="1"/>
      <c r="ZR38" s="1"/>
      <c r="ZS38" s="1"/>
      <c r="ZT38" s="1"/>
      <c r="ZU38" s="1"/>
      <c r="ZV38" s="1"/>
      <c r="ZW38" s="1"/>
      <c r="ZX38" s="1"/>
      <c r="ZY38" s="1"/>
      <c r="ZZ38" s="1"/>
      <c r="AAA38" s="1"/>
      <c r="AAB38" s="1"/>
      <c r="AAC38" s="1"/>
      <c r="AAD38" s="1"/>
      <c r="AAE38" s="1"/>
      <c r="AAF38" s="1"/>
      <c r="AAG38" s="1"/>
      <c r="AAH38" s="1"/>
      <c r="AAI38" s="1"/>
      <c r="AAJ38" s="1"/>
      <c r="AAK38" s="1"/>
      <c r="AAL38" s="1"/>
      <c r="AAM38" s="1"/>
      <c r="AAN38" s="1"/>
      <c r="AAO38" s="1"/>
      <c r="AAP38" s="1"/>
      <c r="AAQ38" s="1"/>
      <c r="AAR38" s="1"/>
      <c r="AAS38" s="1"/>
      <c r="AAT38" s="1"/>
      <c r="AAU38" s="1"/>
      <c r="AAV38" s="1"/>
      <c r="AAW38" s="1"/>
      <c r="AAX38" s="1"/>
      <c r="AAY38" s="1"/>
      <c r="AAZ38" s="1"/>
      <c r="ABA38" s="1"/>
      <c r="ABB38" s="1"/>
      <c r="ABC38" s="1"/>
      <c r="ABD38" s="1"/>
      <c r="ABE38" s="1"/>
      <c r="ABF38" s="1"/>
      <c r="ABG38" s="1"/>
      <c r="ABH38" s="1"/>
      <c r="ABI38" s="1"/>
      <c r="ABJ38" s="1"/>
      <c r="ABK38" s="1"/>
      <c r="ABL38" s="1"/>
      <c r="ABM38" s="1"/>
      <c r="ABN38" s="1"/>
      <c r="ABO38" s="1"/>
      <c r="ABP38" s="1"/>
      <c r="ABQ38" s="1"/>
      <c r="ABR38" s="1"/>
      <c r="ABS38" s="1"/>
      <c r="ABT38" s="1"/>
      <c r="ABU38" s="1"/>
      <c r="ABV38" s="1"/>
      <c r="ABW38" s="1"/>
      <c r="ABX38" s="1"/>
      <c r="ABY38" s="1"/>
      <c r="ABZ38" s="1"/>
      <c r="ACA38" s="1"/>
      <c r="ACB38" s="1"/>
      <c r="ACC38" s="1"/>
      <c r="ACD38" s="1"/>
      <c r="ACE38" s="1"/>
      <c r="ACF38" s="1"/>
      <c r="ACG38" s="1"/>
      <c r="ACH38" s="1"/>
      <c r="ACI38" s="1"/>
      <c r="ACJ38" s="1"/>
      <c r="ACK38" s="1"/>
      <c r="ACL38" s="1"/>
      <c r="ACM38" s="1"/>
      <c r="ACN38" s="1"/>
      <c r="ACO38" s="1"/>
      <c r="ACP38" s="1"/>
      <c r="ACQ38" s="1"/>
      <c r="ACR38" s="1"/>
      <c r="ACS38" s="1"/>
      <c r="ACT38" s="1"/>
      <c r="ACU38" s="1"/>
      <c r="ACV38" s="1"/>
      <c r="ACW38" s="1"/>
      <c r="ACX38" s="1"/>
      <c r="ACY38" s="1"/>
      <c r="ACZ38" s="1"/>
      <c r="ADA38" s="1"/>
      <c r="ADB38" s="1"/>
      <c r="ADC38" s="1"/>
      <c r="ADD38" s="1"/>
      <c r="ADE38" s="1"/>
      <c r="ADF38" s="1"/>
      <c r="ADG38" s="1"/>
      <c r="ADH38" s="1"/>
      <c r="ADI38" s="1"/>
      <c r="ADJ38" s="1"/>
      <c r="ADK38" s="1"/>
      <c r="ADL38" s="1"/>
      <c r="ADM38" s="1"/>
      <c r="ADN38" s="1"/>
      <c r="ADO38" s="1"/>
      <c r="ADP38" s="1"/>
      <c r="ADQ38" s="1"/>
      <c r="ADR38" s="1"/>
      <c r="ADS38" s="1"/>
      <c r="ADT38" s="1"/>
      <c r="ADU38" s="1"/>
      <c r="ADV38" s="1"/>
      <c r="ADW38" s="1"/>
      <c r="ADX38" s="1"/>
      <c r="ADY38" s="1"/>
      <c r="ADZ38" s="1"/>
      <c r="AEA38" s="1"/>
      <c r="AEB38" s="1"/>
      <c r="AEC38" s="1"/>
      <c r="AED38" s="1"/>
      <c r="AEE38" s="1"/>
      <c r="AEF38" s="1"/>
      <c r="AEG38" s="1"/>
      <c r="AEH38" s="1"/>
      <c r="AEI38" s="1"/>
      <c r="AEJ38" s="1"/>
      <c r="AEK38" s="1"/>
      <c r="AEL38" s="1"/>
      <c r="AEM38" s="1"/>
      <c r="AEN38" s="1"/>
      <c r="AEO38" s="1"/>
      <c r="AEP38" s="1"/>
      <c r="AEQ38" s="1"/>
      <c r="AER38" s="1"/>
      <c r="AES38" s="1"/>
      <c r="AET38" s="1"/>
      <c r="AEU38" s="1"/>
      <c r="AEV38" s="1"/>
      <c r="AEW38" s="1"/>
      <c r="AEX38" s="1"/>
      <c r="AEY38" s="1"/>
      <c r="AEZ38" s="1"/>
      <c r="AFA38" s="1"/>
      <c r="AFB38" s="1"/>
      <c r="AFC38" s="1"/>
      <c r="AFD38" s="1"/>
      <c r="AFE38" s="1"/>
      <c r="AFF38" s="1"/>
      <c r="AFG38" s="1"/>
      <c r="AFH38" s="1"/>
      <c r="AFI38" s="1"/>
      <c r="AFJ38" s="1"/>
      <c r="AFK38" s="1"/>
      <c r="AFL38" s="1"/>
      <c r="AFM38" s="1"/>
      <c r="AFN38" s="1"/>
      <c r="AFO38" s="1"/>
      <c r="AFP38" s="1"/>
      <c r="AFQ38" s="1"/>
      <c r="AFR38" s="1"/>
      <c r="AFS38" s="1"/>
      <c r="AFT38" s="1"/>
      <c r="AFU38" s="1"/>
      <c r="AFV38" s="1"/>
      <c r="AFW38" s="1"/>
      <c r="AFX38" s="1"/>
      <c r="AFY38" s="1"/>
      <c r="AFZ38" s="1"/>
      <c r="AGA38" s="1"/>
      <c r="AGB38" s="1"/>
      <c r="AGC38" s="1"/>
      <c r="AGD38" s="1"/>
      <c r="AGE38" s="1"/>
      <c r="AGF38" s="1"/>
      <c r="AGG38" s="1"/>
      <c r="AGH38" s="1"/>
      <c r="AGI38" s="1"/>
      <c r="AGJ38" s="1"/>
      <c r="AGK38" s="1"/>
      <c r="AGL38" s="1"/>
      <c r="AGM38" s="1"/>
      <c r="AGN38" s="1"/>
      <c r="AGO38" s="1"/>
      <c r="AGP38" s="1"/>
      <c r="AGQ38" s="1"/>
      <c r="AGR38" s="1"/>
      <c r="AGS38" s="1"/>
      <c r="AGT38" s="1"/>
      <c r="AGU38" s="1"/>
      <c r="AGV38" s="1"/>
      <c r="AGW38" s="1"/>
      <c r="AGX38" s="1"/>
      <c r="AGY38" s="1"/>
      <c r="AGZ38" s="1"/>
      <c r="AHA38" s="1"/>
      <c r="AHB38" s="1"/>
      <c r="AHC38" s="1"/>
      <c r="AHD38" s="1"/>
      <c r="AHE38" s="1"/>
      <c r="AHF38" s="1"/>
      <c r="AHG38" s="1"/>
      <c r="AHH38" s="1"/>
      <c r="AHI38" s="1"/>
      <c r="AHJ38" s="1"/>
      <c r="AHK38" s="1"/>
      <c r="AHL38" s="1"/>
      <c r="AHM38" s="1"/>
      <c r="AHN38" s="1"/>
      <c r="AHO38" s="1"/>
      <c r="AHP38" s="1"/>
      <c r="AHQ38" s="1"/>
      <c r="AHR38" s="1"/>
      <c r="AHS38" s="1"/>
      <c r="AHT38" s="1"/>
      <c r="AHU38" s="1"/>
      <c r="AHV38" s="1"/>
      <c r="AHW38" s="1"/>
      <c r="AHX38" s="1"/>
      <c r="AHY38" s="1"/>
      <c r="AHZ38" s="1"/>
      <c r="AIA38" s="1"/>
      <c r="AIB38" s="1"/>
      <c r="AIC38" s="1"/>
      <c r="AID38" s="1"/>
      <c r="AIE38" s="1"/>
      <c r="AIF38" s="1"/>
      <c r="AIG38" s="1"/>
      <c r="AIH38" s="1"/>
      <c r="AII38" s="1"/>
      <c r="AIJ38" s="1"/>
      <c r="AIK38" s="1"/>
      <c r="AIL38" s="1"/>
      <c r="AIM38" s="1"/>
      <c r="AIN38" s="1"/>
      <c r="AIO38" s="1"/>
      <c r="AIP38" s="1"/>
      <c r="AIQ38" s="1"/>
      <c r="AIR38" s="1"/>
      <c r="AIS38" s="1"/>
      <c r="AIT38" s="1"/>
      <c r="AIU38" s="1"/>
      <c r="AIV38" s="1"/>
      <c r="AIW38" s="1"/>
      <c r="AIX38" s="1"/>
      <c r="AIY38" s="1"/>
      <c r="AIZ38" s="1"/>
      <c r="AJA38" s="1"/>
      <c r="AJB38" s="1"/>
      <c r="AJC38" s="1"/>
      <c r="AJD38" s="1"/>
      <c r="AJE38" s="1"/>
      <c r="AJF38" s="1"/>
      <c r="AJG38" s="1"/>
      <c r="AJH38" s="1"/>
      <c r="AJI38" s="1"/>
      <c r="AJJ38" s="1"/>
      <c r="AJK38" s="1"/>
      <c r="AJL38" s="1"/>
      <c r="AJM38" s="1"/>
      <c r="AJN38" s="1"/>
      <c r="AJO38" s="1"/>
      <c r="AJP38" s="1"/>
      <c r="AJQ38" s="1"/>
      <c r="AJR38" s="1"/>
      <c r="AJS38" s="1"/>
      <c r="AJT38" s="1"/>
      <c r="AJU38" s="1"/>
      <c r="AJV38" s="1"/>
      <c r="AJW38" s="1"/>
      <c r="AJX38" s="1"/>
      <c r="AJY38" s="1"/>
      <c r="AJZ38" s="1"/>
      <c r="AKA38" s="1"/>
      <c r="AKB38" s="1"/>
      <c r="AKC38" s="1"/>
      <c r="AKD38" s="1"/>
      <c r="AKE38" s="1"/>
      <c r="AKF38" s="1"/>
      <c r="AKG38" s="1"/>
      <c r="AKH38" s="1"/>
      <c r="AKI38" s="1"/>
      <c r="AKJ38" s="1"/>
      <c r="AKK38" s="1"/>
      <c r="AKL38" s="1"/>
      <c r="AKM38" s="1"/>
      <c r="AKN38" s="1"/>
      <c r="AKO38" s="1"/>
      <c r="AKP38" s="1"/>
      <c r="AKQ38" s="1"/>
      <c r="AKR38" s="1"/>
      <c r="AKS38" s="1"/>
      <c r="AKT38" s="1"/>
      <c r="AKU38" s="1"/>
      <c r="AKV38" s="1"/>
      <c r="AKW38" s="1"/>
      <c r="AKX38" s="1"/>
      <c r="AKY38" s="1"/>
      <c r="AKZ38" s="1"/>
      <c r="ALA38" s="1"/>
      <c r="ALB38" s="1"/>
      <c r="ALC38" s="1"/>
      <c r="ALD38" s="1"/>
      <c r="ALE38" s="1"/>
      <c r="ALF38" s="1"/>
      <c r="ALG38" s="1"/>
      <c r="ALH38" s="1"/>
      <c r="ALI38" s="1"/>
      <c r="ALJ38" s="1"/>
      <c r="ALK38" s="1"/>
      <c r="ALL38" s="1"/>
      <c r="ALM38" s="1"/>
      <c r="ALN38" s="1"/>
      <c r="ALO38" s="1"/>
      <c r="ALP38" s="1"/>
      <c r="ALQ38" s="1"/>
      <c r="ALR38" s="1"/>
      <c r="ALS38" s="1"/>
      <c r="ALT38" s="1"/>
      <c r="ALU38" s="1"/>
      <c r="ALV38" s="1"/>
      <c r="ALW38" s="1"/>
      <c r="ALX38" s="1"/>
      <c r="ALY38" s="1"/>
      <c r="ALZ38" s="1"/>
      <c r="AMA38" s="1"/>
      <c r="AMB38" s="1"/>
      <c r="AMC38" s="1"/>
      <c r="AMD38" s="1"/>
      <c r="AME38" s="1"/>
      <c r="AMF38" s="1"/>
      <c r="AMG38" s="1"/>
      <c r="AMH38" s="1"/>
      <c r="AMI38" s="1"/>
      <c r="AMJ38" s="1"/>
      <c r="AMK38" s="1"/>
      <c r="AML38" s="1"/>
      <c r="AMM38" s="1"/>
    </row>
    <row r="39" spans="1:1027" x14ac:dyDescent="0.25">
      <c r="A39" s="19" t="s">
        <v>663</v>
      </c>
      <c r="B39" s="3">
        <v>80</v>
      </c>
      <c r="C39" s="81" t="str">
        <f t="shared" si="0"/>
        <v>8</v>
      </c>
      <c r="D39" s="3" t="s">
        <v>241</v>
      </c>
      <c r="F39" s="3">
        <v>0</v>
      </c>
      <c r="G39" s="3">
        <v>65535</v>
      </c>
      <c r="H39" s="3" t="s">
        <v>643</v>
      </c>
      <c r="I39" s="3" t="s">
        <v>88</v>
      </c>
      <c r="K39" s="3" t="s">
        <v>667</v>
      </c>
      <c r="L39" s="3"/>
      <c r="M39" s="3"/>
      <c r="N39" s="3"/>
      <c r="O39" s="3"/>
      <c r="P39" s="3"/>
      <c r="Q39" s="3"/>
      <c r="R39" s="3"/>
      <c r="S39" s="3"/>
      <c r="T39" s="3"/>
    </row>
    <row r="40" spans="1:1027" x14ac:dyDescent="0.25">
      <c r="A40" s="19" t="s">
        <v>460</v>
      </c>
      <c r="B40" s="3">
        <v>80</v>
      </c>
      <c r="C40" s="81" t="str">
        <f t="shared" si="0"/>
        <v>9</v>
      </c>
      <c r="D40" s="3" t="s">
        <v>226</v>
      </c>
      <c r="E40" s="3"/>
      <c r="F40" s="3">
        <v>-180</v>
      </c>
      <c r="G40" s="3">
        <v>180</v>
      </c>
      <c r="H40" s="3" t="s">
        <v>227</v>
      </c>
      <c r="I40" s="3" t="s">
        <v>94</v>
      </c>
      <c r="J40" s="3"/>
      <c r="L40" s="3"/>
      <c r="M40" s="3"/>
      <c r="N40" s="3"/>
      <c r="O40" s="3"/>
      <c r="P40" s="3"/>
      <c r="Q40" s="3"/>
      <c r="R40" s="3"/>
      <c r="S40" s="3"/>
      <c r="T40" s="3"/>
    </row>
    <row r="41" spans="1:1027" x14ac:dyDescent="0.25">
      <c r="A41" s="19" t="s">
        <v>461</v>
      </c>
      <c r="B41" s="3">
        <v>80</v>
      </c>
      <c r="C41" s="81" t="str">
        <f t="shared" si="0"/>
        <v>A</v>
      </c>
      <c r="D41" s="3" t="s">
        <v>226</v>
      </c>
      <c r="E41" s="3"/>
      <c r="F41" s="3">
        <v>-180</v>
      </c>
      <c r="G41" s="3">
        <v>180</v>
      </c>
      <c r="H41" s="3" t="s">
        <v>227</v>
      </c>
      <c r="I41" s="3" t="s">
        <v>94</v>
      </c>
      <c r="J41" s="3"/>
      <c r="L41" s="3"/>
      <c r="M41" s="3"/>
      <c r="N41" s="3"/>
      <c r="O41" s="3"/>
      <c r="P41" s="3"/>
      <c r="Q41" s="3"/>
      <c r="R41" s="3"/>
      <c r="S41" s="3"/>
      <c r="T41" s="3"/>
    </row>
    <row r="42" spans="1:1027" x14ac:dyDescent="0.25">
      <c r="A42" s="19" t="s">
        <v>462</v>
      </c>
      <c r="B42" s="3">
        <v>80</v>
      </c>
      <c r="C42" s="81" t="str">
        <f t="shared" si="0"/>
        <v>B</v>
      </c>
      <c r="D42" s="3" t="s">
        <v>226</v>
      </c>
      <c r="E42" s="3"/>
      <c r="F42" s="3">
        <v>-180</v>
      </c>
      <c r="G42" s="3">
        <v>180</v>
      </c>
      <c r="H42" s="3" t="s">
        <v>227</v>
      </c>
      <c r="I42" s="3" t="s">
        <v>94</v>
      </c>
      <c r="J42" s="3"/>
      <c r="L42" s="3"/>
      <c r="M42" s="3"/>
      <c r="N42" s="3"/>
      <c r="O42" s="3"/>
      <c r="P42" s="3"/>
      <c r="Q42" s="3"/>
      <c r="R42" s="3"/>
      <c r="S42" s="3"/>
      <c r="T42" s="3"/>
    </row>
    <row r="43" spans="1:1027" x14ac:dyDescent="0.25">
      <c r="A43" s="41" t="s">
        <v>463</v>
      </c>
      <c r="B43" s="3">
        <v>80</v>
      </c>
      <c r="C43" s="81" t="str">
        <f t="shared" si="0"/>
        <v>C</v>
      </c>
      <c r="D43" s="3" t="s">
        <v>226</v>
      </c>
      <c r="E43" s="3"/>
      <c r="F43" s="3"/>
      <c r="G43" s="3"/>
      <c r="H43" s="3"/>
      <c r="I43" s="3" t="s">
        <v>94</v>
      </c>
      <c r="J43" s="3"/>
      <c r="L43" s="3"/>
      <c r="M43" s="3"/>
      <c r="N43" s="3"/>
      <c r="O43" s="3"/>
      <c r="P43" s="3"/>
      <c r="Q43" s="3"/>
      <c r="R43" s="3"/>
      <c r="S43" s="3"/>
      <c r="T43" s="3"/>
    </row>
    <row r="44" spans="1:1027" x14ac:dyDescent="0.25">
      <c r="A44" s="41" t="s">
        <v>464</v>
      </c>
      <c r="B44" s="3">
        <v>80</v>
      </c>
      <c r="C44" s="81" t="str">
        <f t="shared" si="0"/>
        <v>D</v>
      </c>
      <c r="D44" s="3" t="s">
        <v>226</v>
      </c>
      <c r="E44" s="3"/>
      <c r="F44" s="3"/>
      <c r="G44" s="3"/>
      <c r="H44" s="3"/>
      <c r="I44" s="3" t="s">
        <v>94</v>
      </c>
      <c r="J44" s="3"/>
      <c r="L44" s="3"/>
      <c r="M44" s="3"/>
      <c r="N44" s="3"/>
      <c r="O44" s="3"/>
      <c r="P44" s="3"/>
      <c r="Q44" s="3"/>
      <c r="R44" s="3"/>
      <c r="S44" s="3"/>
      <c r="T44" s="3"/>
    </row>
    <row r="45" spans="1:1027" x14ac:dyDescent="0.25">
      <c r="A45" s="41" t="s">
        <v>465</v>
      </c>
      <c r="B45" s="3">
        <v>80</v>
      </c>
      <c r="C45" s="81" t="str">
        <f t="shared" si="0"/>
        <v>E</v>
      </c>
      <c r="D45" s="3" t="s">
        <v>226</v>
      </c>
      <c r="E45" s="3"/>
      <c r="F45" s="3"/>
      <c r="G45" s="3"/>
      <c r="H45" s="3"/>
      <c r="I45" s="3" t="s">
        <v>94</v>
      </c>
      <c r="J45" s="3"/>
      <c r="L45" s="3"/>
      <c r="M45" s="3"/>
      <c r="N45" s="3"/>
      <c r="O45" s="3"/>
      <c r="P45" s="3"/>
      <c r="Q45" s="3"/>
      <c r="R45" s="3"/>
      <c r="S45" s="3"/>
      <c r="T45" s="3"/>
    </row>
    <row r="46" spans="1:1027" x14ac:dyDescent="0.25">
      <c r="A46" s="41" t="s">
        <v>634</v>
      </c>
      <c r="B46" s="3">
        <v>80</v>
      </c>
      <c r="C46" s="81" t="str">
        <f t="shared" si="0"/>
        <v>F</v>
      </c>
      <c r="D46" s="3" t="s">
        <v>138</v>
      </c>
      <c r="E46" s="3"/>
      <c r="F46" s="3">
        <v>0</v>
      </c>
      <c r="G46" s="3">
        <v>3</v>
      </c>
      <c r="H46" s="3"/>
      <c r="I46" s="3" t="s">
        <v>94</v>
      </c>
      <c r="J46" s="3"/>
      <c r="K46" s="3" t="s">
        <v>635</v>
      </c>
      <c r="L46" s="3"/>
      <c r="M46" s="3"/>
      <c r="N46" s="3"/>
      <c r="O46" s="3"/>
      <c r="P46" s="3"/>
      <c r="Q46" s="3"/>
      <c r="R46" s="3"/>
      <c r="S46" s="3"/>
      <c r="T46" s="3"/>
    </row>
    <row r="47" spans="1:1027" x14ac:dyDescent="0.25">
      <c r="A47" s="46" t="s">
        <v>636</v>
      </c>
      <c r="B47" s="3">
        <v>80</v>
      </c>
      <c r="C47" s="81" t="str">
        <f t="shared" si="0"/>
        <v>10</v>
      </c>
      <c r="D47" s="3"/>
      <c r="E47" s="3"/>
      <c r="F47" s="3"/>
      <c r="G47" s="3"/>
      <c r="H47" s="3"/>
      <c r="I47" s="3" t="s">
        <v>94</v>
      </c>
      <c r="J47" s="3"/>
      <c r="L47" s="3"/>
      <c r="M47" s="3"/>
      <c r="N47" s="3"/>
      <c r="O47" s="3"/>
      <c r="P47" s="3"/>
      <c r="Q47" s="3"/>
      <c r="R47" s="3"/>
      <c r="S47" s="3"/>
      <c r="T47" s="3"/>
    </row>
    <row r="48" spans="1:1027" x14ac:dyDescent="0.25">
      <c r="A48" s="41" t="s">
        <v>587</v>
      </c>
      <c r="B48" s="3">
        <v>80</v>
      </c>
      <c r="C48" s="81" t="str">
        <f t="shared" si="0"/>
        <v>11</v>
      </c>
      <c r="D48" s="3" t="s">
        <v>141</v>
      </c>
      <c r="E48" s="3"/>
      <c r="F48" s="3">
        <v>0</v>
      </c>
      <c r="G48" s="3">
        <v>1</v>
      </c>
      <c r="H48" s="3"/>
      <c r="I48" s="3" t="s">
        <v>94</v>
      </c>
      <c r="J48" s="3"/>
      <c r="L48" s="3"/>
      <c r="M48" s="3"/>
      <c r="N48" s="3"/>
      <c r="O48" s="3"/>
      <c r="P48" s="3"/>
      <c r="Q48" s="3"/>
      <c r="R48" s="3"/>
      <c r="S48" s="3"/>
      <c r="T48" s="3"/>
    </row>
    <row r="49" spans="1:20" x14ac:dyDescent="0.25">
      <c r="A49" s="41" t="s">
        <v>588</v>
      </c>
      <c r="B49" s="3">
        <v>80</v>
      </c>
      <c r="C49" s="81" t="str">
        <f t="shared" si="0"/>
        <v>12</v>
      </c>
      <c r="D49" s="3" t="s">
        <v>141</v>
      </c>
      <c r="E49" s="3"/>
      <c r="F49" s="3">
        <v>0</v>
      </c>
      <c r="G49" s="3">
        <v>1</v>
      </c>
      <c r="H49" s="3"/>
      <c r="I49" s="3" t="s">
        <v>94</v>
      </c>
      <c r="J49" s="3"/>
      <c r="L49" s="3"/>
      <c r="M49" s="3"/>
      <c r="N49" s="3"/>
      <c r="O49" s="3"/>
      <c r="P49" s="3"/>
      <c r="Q49" s="3"/>
      <c r="R49" s="3"/>
      <c r="S49" s="3"/>
      <c r="T49" s="3"/>
    </row>
    <row r="50" spans="1:20" x14ac:dyDescent="0.25">
      <c r="A50" s="41" t="s">
        <v>509</v>
      </c>
      <c r="B50" s="3">
        <v>80</v>
      </c>
      <c r="C50" s="81" t="str">
        <f t="shared" si="0"/>
        <v>13</v>
      </c>
      <c r="D50" s="3" t="s">
        <v>138</v>
      </c>
      <c r="E50" s="3"/>
      <c r="F50" s="3">
        <v>0</v>
      </c>
      <c r="G50" s="3">
        <v>2</v>
      </c>
      <c r="H50" s="3"/>
      <c r="I50" s="3" t="s">
        <v>94</v>
      </c>
      <c r="J50" s="3"/>
      <c r="K50" s="3" t="s">
        <v>510</v>
      </c>
      <c r="L50" s="3"/>
      <c r="M50" s="3"/>
      <c r="N50" s="3"/>
      <c r="O50" s="3"/>
      <c r="P50" s="3"/>
      <c r="Q50" s="3"/>
      <c r="R50" s="3"/>
      <c r="S50" s="3"/>
      <c r="T50" s="3"/>
    </row>
    <row r="51" spans="1:20" x14ac:dyDescent="0.25">
      <c r="A51" s="25" t="s">
        <v>581</v>
      </c>
      <c r="B51" s="3">
        <v>80</v>
      </c>
      <c r="C51" s="81" t="str">
        <f t="shared" si="0"/>
        <v>14</v>
      </c>
      <c r="D51" s="3" t="s">
        <v>129</v>
      </c>
      <c r="E51" s="3"/>
      <c r="F51" s="3"/>
      <c r="G51" s="3"/>
      <c r="H51" s="3"/>
      <c r="I51" s="3"/>
      <c r="J51" s="3"/>
      <c r="L51" s="3"/>
      <c r="M51" s="3"/>
      <c r="N51" s="3"/>
      <c r="O51" s="3"/>
      <c r="P51" s="3"/>
      <c r="Q51" s="3"/>
      <c r="R51" s="3"/>
      <c r="S51" s="3"/>
      <c r="T51" s="3"/>
    </row>
    <row r="52" spans="1:20" x14ac:dyDescent="0.25">
      <c r="A52" s="25" t="s">
        <v>580</v>
      </c>
      <c r="B52" s="3">
        <v>80</v>
      </c>
      <c r="C52" s="81" t="str">
        <f t="shared" si="0"/>
        <v>15</v>
      </c>
      <c r="D52" s="3" t="s">
        <v>129</v>
      </c>
      <c r="E52" s="3"/>
      <c r="F52" s="3"/>
      <c r="G52" s="3"/>
      <c r="H52" s="3"/>
      <c r="I52" s="3"/>
      <c r="J52" s="3"/>
      <c r="L52" s="3"/>
      <c r="M52" s="3"/>
      <c r="N52" s="3"/>
      <c r="O52" s="3"/>
      <c r="P52" s="3"/>
      <c r="Q52" s="3"/>
      <c r="R52" s="3"/>
      <c r="S52" s="3"/>
      <c r="T52" s="3"/>
    </row>
    <row r="53" spans="1:20" x14ac:dyDescent="0.25">
      <c r="A53" s="25" t="s">
        <v>582</v>
      </c>
      <c r="B53" s="3">
        <v>80</v>
      </c>
      <c r="C53" s="81" t="str">
        <f t="shared" si="0"/>
        <v>16</v>
      </c>
      <c r="D53" s="3" t="s">
        <v>129</v>
      </c>
      <c r="E53" s="3"/>
      <c r="F53" s="3"/>
      <c r="G53" s="3"/>
      <c r="H53" s="3"/>
      <c r="I53" s="3"/>
      <c r="J53" s="3"/>
      <c r="L53" s="3"/>
      <c r="M53" s="3"/>
      <c r="N53" s="3"/>
      <c r="O53" s="3"/>
      <c r="P53" s="3"/>
      <c r="Q53" s="3"/>
      <c r="R53" s="3"/>
      <c r="S53" s="3"/>
      <c r="T53" s="3"/>
    </row>
    <row r="54" spans="1:20" x14ac:dyDescent="0.25">
      <c r="A54" s="25" t="s">
        <v>583</v>
      </c>
      <c r="B54" s="3">
        <v>80</v>
      </c>
      <c r="C54" s="81" t="str">
        <f t="shared" si="0"/>
        <v>17</v>
      </c>
      <c r="D54" s="3" t="s">
        <v>129</v>
      </c>
      <c r="E54" s="3"/>
      <c r="F54" s="3"/>
      <c r="G54" s="3"/>
      <c r="H54" s="3"/>
      <c r="I54" s="3"/>
      <c r="J54" s="3"/>
      <c r="L54" s="3"/>
      <c r="M54" s="3"/>
      <c r="N54" s="3"/>
      <c r="O54" s="3"/>
      <c r="P54" s="3"/>
      <c r="Q54" s="3"/>
      <c r="R54" s="3"/>
      <c r="S54" s="3"/>
      <c r="T54" s="3"/>
    </row>
    <row r="55" spans="1:20" x14ac:dyDescent="0.25">
      <c r="A55" s="41" t="s">
        <v>511</v>
      </c>
      <c r="B55" s="3">
        <v>80</v>
      </c>
      <c r="C55" s="81" t="str">
        <f t="shared" si="0"/>
        <v>18</v>
      </c>
      <c r="D55" s="3" t="s">
        <v>138</v>
      </c>
      <c r="E55" s="3"/>
      <c r="F55" s="3">
        <v>0</v>
      </c>
      <c r="G55" s="3">
        <v>2</v>
      </c>
      <c r="H55" s="3"/>
      <c r="I55" s="3" t="s">
        <v>94</v>
      </c>
      <c r="J55" s="3"/>
      <c r="K55" s="3" t="s">
        <v>510</v>
      </c>
      <c r="L55" s="3"/>
      <c r="M55" s="3"/>
      <c r="N55" s="3"/>
      <c r="O55" s="3"/>
      <c r="P55" s="3"/>
      <c r="Q55" s="3"/>
      <c r="R55" s="3"/>
      <c r="S55" s="3"/>
      <c r="T55" s="3"/>
    </row>
    <row r="56" spans="1:20" x14ac:dyDescent="0.25">
      <c r="A56" s="25" t="s">
        <v>538</v>
      </c>
      <c r="B56" s="3">
        <v>80</v>
      </c>
      <c r="C56" s="81" t="str">
        <f t="shared" si="0"/>
        <v>19</v>
      </c>
      <c r="D56" s="3" t="s">
        <v>129</v>
      </c>
      <c r="E56" s="3"/>
      <c r="F56" s="3"/>
      <c r="G56" s="3"/>
      <c r="H56" s="3"/>
      <c r="I56" s="3"/>
      <c r="J56" s="3"/>
      <c r="L56" s="3"/>
      <c r="M56" s="3"/>
      <c r="N56" s="3"/>
      <c r="O56" s="3"/>
      <c r="P56" s="3"/>
      <c r="Q56" s="3"/>
      <c r="R56" s="3"/>
      <c r="S56" s="3"/>
      <c r="T56" s="3"/>
    </row>
    <row r="57" spans="1:20" x14ac:dyDescent="0.25">
      <c r="A57" s="25" t="s">
        <v>539</v>
      </c>
      <c r="B57" s="3"/>
      <c r="C57" s="81" t="str">
        <f>DEC2HEX(HEX2DEC(C56)+1)</f>
        <v>1A</v>
      </c>
      <c r="D57" s="3"/>
      <c r="E57" s="3"/>
      <c r="F57" s="3"/>
      <c r="G57" s="3"/>
      <c r="H57" s="3"/>
      <c r="I57" s="3"/>
      <c r="J57" s="3"/>
      <c r="L57" s="3"/>
      <c r="M57" s="3"/>
      <c r="N57" s="3"/>
      <c r="O57" s="3"/>
      <c r="P57" s="3"/>
      <c r="Q57" s="3"/>
      <c r="R57" s="3"/>
      <c r="S57" s="3"/>
      <c r="T57" s="3"/>
    </row>
    <row r="58" spans="1:20" x14ac:dyDescent="0.25">
      <c r="A58" s="25" t="s">
        <v>540</v>
      </c>
      <c r="B58" s="3"/>
      <c r="C58" s="81" t="str">
        <f t="shared" si="0"/>
        <v>1B</v>
      </c>
      <c r="D58" s="3"/>
      <c r="E58" s="3"/>
      <c r="F58" s="3"/>
      <c r="G58" s="3"/>
      <c r="H58" s="3"/>
      <c r="I58" s="3"/>
      <c r="J58" s="3"/>
      <c r="L58" s="3"/>
      <c r="M58" s="3"/>
      <c r="N58" s="3"/>
      <c r="O58" s="3"/>
      <c r="P58" s="3"/>
      <c r="Q58" s="3"/>
      <c r="R58" s="3"/>
      <c r="S58" s="3"/>
      <c r="T58" s="3"/>
    </row>
    <row r="59" spans="1:20" x14ac:dyDescent="0.25">
      <c r="A59" s="41" t="s">
        <v>512</v>
      </c>
      <c r="B59" s="3">
        <v>80</v>
      </c>
      <c r="C59" s="81" t="str">
        <f t="shared" si="0"/>
        <v>1C</v>
      </c>
      <c r="D59" s="3" t="s">
        <v>138</v>
      </c>
      <c r="E59" s="3"/>
      <c r="F59" s="3">
        <v>0</v>
      </c>
      <c r="G59" s="3">
        <v>2</v>
      </c>
      <c r="H59" s="3"/>
      <c r="I59" s="3" t="s">
        <v>94</v>
      </c>
      <c r="J59" s="3"/>
      <c r="K59" s="3" t="s">
        <v>510</v>
      </c>
      <c r="L59" s="3"/>
      <c r="M59" s="3"/>
      <c r="N59" s="3"/>
      <c r="O59" s="3"/>
      <c r="P59" s="3"/>
      <c r="Q59" s="3"/>
      <c r="R59" s="3"/>
      <c r="S59" s="3"/>
      <c r="T59" s="3"/>
    </row>
    <row r="60" spans="1:20" x14ac:dyDescent="0.25">
      <c r="A60" s="25" t="s">
        <v>551</v>
      </c>
      <c r="B60" s="3">
        <v>80</v>
      </c>
      <c r="C60" s="81" t="str">
        <f t="shared" si="0"/>
        <v>1D</v>
      </c>
      <c r="D60" s="3" t="s">
        <v>129</v>
      </c>
      <c r="E60" s="3"/>
      <c r="F60" s="3"/>
      <c r="G60" s="3"/>
      <c r="H60" s="3"/>
      <c r="I60" s="3"/>
      <c r="J60" s="3"/>
      <c r="L60" s="3"/>
      <c r="M60" s="3"/>
      <c r="N60" s="3"/>
      <c r="O60" s="3"/>
      <c r="P60" s="3"/>
      <c r="Q60" s="3"/>
      <c r="R60" s="3"/>
      <c r="S60" s="3"/>
      <c r="T60" s="3"/>
    </row>
    <row r="61" spans="1:20" x14ac:dyDescent="0.25">
      <c r="A61" s="25" t="s">
        <v>552</v>
      </c>
      <c r="B61" s="3"/>
      <c r="C61" s="81" t="str">
        <f t="shared" si="0"/>
        <v>1E</v>
      </c>
      <c r="D61" s="3"/>
      <c r="E61" s="3"/>
      <c r="F61" s="3"/>
      <c r="G61" s="3"/>
      <c r="H61" s="3"/>
      <c r="I61" s="3"/>
      <c r="J61" s="3"/>
      <c r="L61" s="3"/>
      <c r="M61" s="3"/>
      <c r="N61" s="3"/>
      <c r="O61" s="3"/>
      <c r="P61" s="3"/>
      <c r="Q61" s="3"/>
      <c r="R61" s="3"/>
      <c r="S61" s="3"/>
      <c r="T61" s="3"/>
    </row>
    <row r="62" spans="1:20" x14ac:dyDescent="0.25">
      <c r="A62" s="25" t="s">
        <v>553</v>
      </c>
      <c r="B62" s="3"/>
      <c r="C62" s="81" t="str">
        <f t="shared" si="0"/>
        <v>1F</v>
      </c>
      <c r="D62" s="3"/>
      <c r="E62" s="3"/>
      <c r="F62" s="3"/>
      <c r="G62" s="3"/>
      <c r="H62" s="3"/>
      <c r="I62" s="3"/>
      <c r="J62" s="3"/>
      <c r="L62" s="3"/>
      <c r="M62" s="3"/>
      <c r="N62" s="3"/>
      <c r="O62" s="3"/>
      <c r="P62" s="3"/>
      <c r="Q62" s="3"/>
      <c r="R62" s="3"/>
      <c r="S62" s="3"/>
      <c r="T62" s="3"/>
    </row>
    <row r="63" spans="1:20" x14ac:dyDescent="0.25">
      <c r="A63" s="41" t="s">
        <v>513</v>
      </c>
      <c r="B63" s="3">
        <v>80</v>
      </c>
      <c r="C63" s="81" t="str">
        <f t="shared" si="0"/>
        <v>20</v>
      </c>
      <c r="D63" s="3" t="s">
        <v>138</v>
      </c>
      <c r="E63" s="3"/>
      <c r="F63" s="3">
        <v>0</v>
      </c>
      <c r="G63" s="3">
        <v>2</v>
      </c>
      <c r="H63" s="3"/>
      <c r="I63" s="3" t="s">
        <v>94</v>
      </c>
      <c r="J63" s="3"/>
      <c r="K63" s="3" t="s">
        <v>510</v>
      </c>
      <c r="L63" s="3"/>
      <c r="M63" s="3"/>
      <c r="N63" s="3"/>
      <c r="O63" s="3"/>
      <c r="P63" s="3"/>
      <c r="Q63" s="3"/>
      <c r="R63" s="3"/>
      <c r="S63" s="3"/>
      <c r="T63" s="3"/>
    </row>
    <row r="64" spans="1:20" x14ac:dyDescent="0.25">
      <c r="A64" s="25" t="s">
        <v>554</v>
      </c>
      <c r="B64" s="3">
        <v>80</v>
      </c>
      <c r="C64" s="81" t="str">
        <f t="shared" si="0"/>
        <v>21</v>
      </c>
      <c r="D64" s="3" t="s">
        <v>129</v>
      </c>
      <c r="E64" s="3"/>
      <c r="F64" s="3"/>
      <c r="G64" s="3"/>
      <c r="H64" s="3"/>
      <c r="I64" s="3"/>
      <c r="J64" s="3"/>
      <c r="L64" s="3"/>
      <c r="M64" s="3"/>
      <c r="N64" s="3"/>
      <c r="O64" s="3"/>
      <c r="P64" s="3"/>
      <c r="Q64" s="3"/>
      <c r="R64" s="3"/>
      <c r="S64" s="3"/>
      <c r="T64" s="3"/>
    </row>
    <row r="65" spans="1:20" x14ac:dyDescent="0.25">
      <c r="A65" s="25" t="s">
        <v>555</v>
      </c>
      <c r="B65" s="3"/>
      <c r="C65" s="81" t="str">
        <f t="shared" si="0"/>
        <v>22</v>
      </c>
      <c r="D65" s="3"/>
      <c r="E65" s="3"/>
      <c r="F65" s="3"/>
      <c r="G65" s="3"/>
      <c r="H65" s="3"/>
      <c r="I65" s="3"/>
      <c r="J65" s="3"/>
      <c r="L65" s="3"/>
      <c r="M65" s="3"/>
      <c r="N65" s="3"/>
      <c r="O65" s="3"/>
      <c r="P65" s="3"/>
      <c r="Q65" s="3"/>
      <c r="R65" s="3"/>
      <c r="S65" s="3"/>
      <c r="T65" s="3"/>
    </row>
    <row r="66" spans="1:20" x14ac:dyDescent="0.25">
      <c r="A66" s="25" t="s">
        <v>556</v>
      </c>
      <c r="B66" s="3"/>
      <c r="C66" s="81" t="str">
        <f t="shared" si="0"/>
        <v>23</v>
      </c>
      <c r="D66" s="3"/>
      <c r="E66" s="3"/>
      <c r="F66" s="3"/>
      <c r="G66" s="3"/>
      <c r="H66" s="3"/>
      <c r="I66" s="3"/>
      <c r="J66" s="3"/>
      <c r="L66" s="3"/>
      <c r="M66" s="3"/>
      <c r="N66" s="3"/>
      <c r="O66" s="3"/>
      <c r="P66" s="3"/>
      <c r="Q66" s="3"/>
      <c r="R66" s="3"/>
      <c r="S66" s="3"/>
      <c r="T66" s="3"/>
    </row>
    <row r="67" spans="1:20" x14ac:dyDescent="0.25">
      <c r="A67" s="41" t="s">
        <v>514</v>
      </c>
      <c r="B67" s="3">
        <v>80</v>
      </c>
      <c r="C67" s="81" t="str">
        <f t="shared" si="0"/>
        <v>24</v>
      </c>
      <c r="D67" s="3" t="s">
        <v>138</v>
      </c>
      <c r="E67" s="3"/>
      <c r="F67" s="3">
        <v>0</v>
      </c>
      <c r="G67" s="3">
        <v>2</v>
      </c>
      <c r="H67" s="3"/>
      <c r="I67" s="3" t="s">
        <v>94</v>
      </c>
      <c r="J67" s="3"/>
      <c r="K67" s="3" t="s">
        <v>510</v>
      </c>
      <c r="L67" s="3"/>
      <c r="M67" s="3"/>
      <c r="N67" s="3"/>
      <c r="O67" s="3"/>
      <c r="P67" s="3"/>
      <c r="Q67" s="3"/>
      <c r="R67" s="3"/>
      <c r="S67" s="3"/>
      <c r="T67" s="3"/>
    </row>
    <row r="68" spans="1:20" x14ac:dyDescent="0.25">
      <c r="A68" s="25" t="s">
        <v>557</v>
      </c>
      <c r="B68" s="3">
        <v>80</v>
      </c>
      <c r="C68" s="81" t="str">
        <f t="shared" si="0"/>
        <v>25</v>
      </c>
      <c r="D68" s="3" t="s">
        <v>129</v>
      </c>
      <c r="E68" s="3"/>
      <c r="F68" s="3"/>
      <c r="G68" s="3"/>
      <c r="H68" s="3"/>
      <c r="I68" s="3"/>
      <c r="J68" s="3"/>
      <c r="L68" s="3"/>
      <c r="M68" s="3"/>
      <c r="N68" s="3"/>
      <c r="O68" s="3"/>
      <c r="P68" s="3"/>
      <c r="Q68" s="3"/>
      <c r="R68" s="3"/>
      <c r="S68" s="3"/>
      <c r="T68" s="3"/>
    </row>
    <row r="69" spans="1:20" x14ac:dyDescent="0.25">
      <c r="A69" s="25" t="s">
        <v>558</v>
      </c>
      <c r="B69" s="3"/>
      <c r="C69" s="81" t="str">
        <f t="shared" si="0"/>
        <v>26</v>
      </c>
      <c r="D69" s="3"/>
      <c r="E69" s="3"/>
      <c r="F69" s="3"/>
      <c r="G69" s="3"/>
      <c r="H69" s="3"/>
      <c r="I69" s="3"/>
      <c r="J69" s="3"/>
      <c r="L69" s="3"/>
      <c r="M69" s="3"/>
      <c r="N69" s="3"/>
      <c r="O69" s="3"/>
      <c r="P69" s="3"/>
      <c r="Q69" s="3"/>
      <c r="R69" s="3"/>
      <c r="S69" s="3"/>
      <c r="T69" s="3"/>
    </row>
    <row r="70" spans="1:20" x14ac:dyDescent="0.25">
      <c r="A70" s="25" t="s">
        <v>559</v>
      </c>
      <c r="B70" s="3"/>
      <c r="C70" s="81" t="str">
        <f t="shared" si="0"/>
        <v>27</v>
      </c>
      <c r="D70" s="3"/>
      <c r="E70" s="3"/>
      <c r="F70" s="3"/>
      <c r="G70" s="3"/>
      <c r="H70" s="3"/>
      <c r="I70" s="3"/>
      <c r="J70" s="3"/>
      <c r="L70" s="3"/>
      <c r="M70" s="3"/>
      <c r="N70" s="3"/>
      <c r="O70" s="3"/>
      <c r="P70" s="3"/>
      <c r="Q70" s="3"/>
      <c r="R70" s="3"/>
      <c r="S70" s="3"/>
      <c r="T70" s="3"/>
    </row>
    <row r="71" spans="1:20" x14ac:dyDescent="0.25">
      <c r="A71" s="41" t="s">
        <v>515</v>
      </c>
      <c r="B71" s="3">
        <v>80</v>
      </c>
      <c r="C71" s="81" t="str">
        <f t="shared" si="0"/>
        <v>28</v>
      </c>
      <c r="D71" s="3" t="s">
        <v>138</v>
      </c>
      <c r="E71" s="3"/>
      <c r="F71" s="3">
        <v>0</v>
      </c>
      <c r="G71" s="3">
        <v>2</v>
      </c>
      <c r="H71" s="3"/>
      <c r="I71" s="3" t="s">
        <v>94</v>
      </c>
      <c r="J71" s="3"/>
      <c r="K71" s="3" t="s">
        <v>510</v>
      </c>
      <c r="L71" s="3"/>
      <c r="M71" s="3"/>
      <c r="N71" s="3"/>
      <c r="O71" s="3"/>
      <c r="P71" s="3"/>
      <c r="Q71" s="3"/>
      <c r="R71" s="3"/>
      <c r="S71" s="3"/>
      <c r="T71" s="3"/>
    </row>
    <row r="72" spans="1:20" x14ac:dyDescent="0.25">
      <c r="A72" s="25" t="s">
        <v>560</v>
      </c>
      <c r="B72" s="3">
        <v>80</v>
      </c>
      <c r="C72" s="81" t="str">
        <f>DEC2HEX(HEX2DEC(C71)+1)</f>
        <v>29</v>
      </c>
      <c r="D72" s="3" t="s">
        <v>129</v>
      </c>
      <c r="E72" s="3"/>
      <c r="F72" s="3"/>
      <c r="G72" s="3"/>
      <c r="H72" s="3"/>
      <c r="I72" s="3"/>
      <c r="J72" s="3"/>
      <c r="L72" s="3"/>
      <c r="M72" s="3"/>
      <c r="N72" s="3"/>
      <c r="O72" s="3"/>
      <c r="P72" s="3"/>
      <c r="Q72" s="3"/>
      <c r="R72" s="3"/>
      <c r="S72" s="3"/>
      <c r="T72" s="3"/>
    </row>
    <row r="73" spans="1:20" x14ac:dyDescent="0.25">
      <c r="A73" s="25" t="s">
        <v>561</v>
      </c>
      <c r="B73" s="3"/>
      <c r="C73" s="81" t="str">
        <f t="shared" si="0"/>
        <v>2A</v>
      </c>
      <c r="D73" s="3"/>
      <c r="E73" s="3"/>
      <c r="F73" s="3"/>
      <c r="G73" s="3"/>
      <c r="H73" s="3"/>
      <c r="I73" s="3"/>
      <c r="J73" s="3"/>
      <c r="L73" s="3"/>
      <c r="M73" s="3"/>
      <c r="N73" s="3"/>
      <c r="O73" s="3"/>
      <c r="P73" s="3"/>
      <c r="Q73" s="3"/>
      <c r="R73" s="3"/>
      <c r="S73" s="3"/>
      <c r="T73" s="3"/>
    </row>
    <row r="74" spans="1:20" x14ac:dyDescent="0.25">
      <c r="A74" s="25" t="s">
        <v>562</v>
      </c>
      <c r="B74" s="3"/>
      <c r="C74" s="81" t="str">
        <f t="shared" si="0"/>
        <v>2B</v>
      </c>
      <c r="D74" s="3"/>
      <c r="E74" s="3"/>
      <c r="F74" s="3"/>
      <c r="G74" s="3"/>
      <c r="H74" s="3"/>
      <c r="I74" s="3"/>
      <c r="J74" s="3"/>
      <c r="L74" s="3"/>
      <c r="M74" s="3"/>
      <c r="N74" s="3"/>
      <c r="O74" s="3"/>
      <c r="P74" s="3"/>
      <c r="Q74" s="3"/>
      <c r="R74" s="3"/>
      <c r="S74" s="3"/>
      <c r="T74" s="3"/>
    </row>
    <row r="75" spans="1:20" x14ac:dyDescent="0.25">
      <c r="A75" s="41" t="s">
        <v>516</v>
      </c>
      <c r="B75" s="3">
        <v>80</v>
      </c>
      <c r="C75" s="81" t="str">
        <f t="shared" si="0"/>
        <v>2C</v>
      </c>
      <c r="D75" s="3" t="s">
        <v>138</v>
      </c>
      <c r="E75" s="3"/>
      <c r="F75" s="3">
        <v>0</v>
      </c>
      <c r="G75" s="3">
        <v>2</v>
      </c>
      <c r="H75" s="3"/>
      <c r="I75" s="3" t="s">
        <v>94</v>
      </c>
      <c r="J75" s="3"/>
      <c r="K75" s="3" t="s">
        <v>510</v>
      </c>
      <c r="L75" s="3"/>
      <c r="M75" s="3"/>
      <c r="N75" s="3"/>
      <c r="O75" s="3"/>
      <c r="P75" s="3"/>
      <c r="Q75" s="3"/>
      <c r="R75" s="3"/>
      <c r="S75" s="3"/>
      <c r="T75" s="3"/>
    </row>
    <row r="76" spans="1:20" x14ac:dyDescent="0.25">
      <c r="A76" s="25" t="s">
        <v>563</v>
      </c>
      <c r="B76" s="3">
        <v>80</v>
      </c>
      <c r="C76" s="81" t="str">
        <f t="shared" si="0"/>
        <v>2D</v>
      </c>
      <c r="D76" s="3" t="s">
        <v>129</v>
      </c>
      <c r="E76" s="3"/>
      <c r="F76" s="3"/>
      <c r="G76" s="3"/>
      <c r="H76" s="3"/>
      <c r="I76" s="3"/>
      <c r="J76" s="3"/>
      <c r="L76" s="3"/>
      <c r="M76" s="3"/>
      <c r="N76" s="3"/>
      <c r="O76" s="3"/>
      <c r="P76" s="3"/>
      <c r="Q76" s="3"/>
      <c r="R76" s="3"/>
      <c r="S76" s="3"/>
      <c r="T76" s="3"/>
    </row>
    <row r="77" spans="1:20" x14ac:dyDescent="0.25">
      <c r="A77" s="25" t="s">
        <v>564</v>
      </c>
      <c r="B77" s="3"/>
      <c r="C77" s="81" t="str">
        <f t="shared" si="0"/>
        <v>2E</v>
      </c>
      <c r="D77" s="3"/>
      <c r="E77" s="3"/>
      <c r="F77" s="3"/>
      <c r="G77" s="3"/>
      <c r="H77" s="3"/>
      <c r="I77" s="3"/>
      <c r="J77" s="3"/>
      <c r="L77" s="3"/>
      <c r="M77" s="3"/>
      <c r="N77" s="3"/>
      <c r="O77" s="3"/>
      <c r="P77" s="3"/>
      <c r="Q77" s="3"/>
      <c r="R77" s="3"/>
      <c r="S77" s="3"/>
      <c r="T77" s="3"/>
    </row>
    <row r="78" spans="1:20" x14ac:dyDescent="0.25">
      <c r="A78" s="25" t="s">
        <v>565</v>
      </c>
      <c r="B78" s="3"/>
      <c r="C78" s="81" t="str">
        <f t="shared" si="0"/>
        <v>2F</v>
      </c>
      <c r="D78" s="3"/>
      <c r="E78" s="3"/>
      <c r="F78" s="3"/>
      <c r="G78" s="3"/>
      <c r="H78" s="3"/>
      <c r="I78" s="3"/>
      <c r="J78" s="3"/>
      <c r="L78" s="3"/>
      <c r="M78" s="3"/>
      <c r="N78" s="3"/>
      <c r="O78" s="3"/>
      <c r="P78" s="3"/>
      <c r="Q78" s="3"/>
      <c r="R78" s="3"/>
      <c r="S78" s="3"/>
      <c r="T78" s="3"/>
    </row>
    <row r="79" spans="1:20" x14ac:dyDescent="0.25">
      <c r="A79" s="41" t="s">
        <v>517</v>
      </c>
      <c r="B79" s="3">
        <v>80</v>
      </c>
      <c r="C79" s="81" t="str">
        <f t="shared" si="0"/>
        <v>30</v>
      </c>
      <c r="D79" s="3" t="s">
        <v>138</v>
      </c>
      <c r="E79" s="3"/>
      <c r="F79" s="3">
        <v>0</v>
      </c>
      <c r="G79" s="3">
        <v>2</v>
      </c>
      <c r="H79" s="3"/>
      <c r="I79" s="3" t="s">
        <v>94</v>
      </c>
      <c r="J79" s="3"/>
      <c r="K79" s="3" t="s">
        <v>510</v>
      </c>
      <c r="L79" s="3"/>
      <c r="M79" s="3"/>
      <c r="N79" s="3"/>
      <c r="O79" s="3"/>
      <c r="P79" s="3"/>
      <c r="Q79" s="3"/>
      <c r="R79" s="3"/>
      <c r="S79" s="3"/>
      <c r="T79" s="3"/>
    </row>
    <row r="80" spans="1:20" x14ac:dyDescent="0.25">
      <c r="A80" s="25" t="s">
        <v>566</v>
      </c>
      <c r="B80" s="3">
        <v>80</v>
      </c>
      <c r="C80" s="81" t="str">
        <f t="shared" si="0"/>
        <v>31</v>
      </c>
      <c r="D80" s="3" t="s">
        <v>129</v>
      </c>
      <c r="E80" s="3"/>
      <c r="F80" s="3"/>
      <c r="G80" s="3"/>
      <c r="H80" s="3"/>
      <c r="I80" s="3"/>
      <c r="J80" s="3"/>
      <c r="L80" s="3"/>
      <c r="M80" s="3"/>
      <c r="N80" s="3"/>
      <c r="O80" s="3"/>
      <c r="P80" s="3"/>
      <c r="Q80" s="3"/>
      <c r="R80" s="3"/>
      <c r="S80" s="3"/>
      <c r="T80" s="3"/>
    </row>
    <row r="81" spans="1:20" x14ac:dyDescent="0.25">
      <c r="A81" s="25" t="s">
        <v>567</v>
      </c>
      <c r="B81" s="3"/>
      <c r="C81" s="81" t="str">
        <f t="shared" si="0"/>
        <v>32</v>
      </c>
      <c r="D81" s="3"/>
      <c r="E81" s="3"/>
      <c r="F81" s="3"/>
      <c r="G81" s="3"/>
      <c r="H81" s="3"/>
      <c r="I81" s="3"/>
      <c r="J81" s="3"/>
      <c r="L81" s="3"/>
      <c r="M81" s="3"/>
      <c r="N81" s="3"/>
      <c r="O81" s="3"/>
      <c r="P81" s="3"/>
      <c r="Q81" s="3"/>
      <c r="R81" s="3"/>
      <c r="S81" s="3"/>
      <c r="T81" s="3"/>
    </row>
    <row r="82" spans="1:20" x14ac:dyDescent="0.25">
      <c r="A82" s="25" t="s">
        <v>568</v>
      </c>
      <c r="B82" s="3"/>
      <c r="C82" s="81" t="str">
        <f t="shared" si="0"/>
        <v>33</v>
      </c>
      <c r="D82" s="3"/>
      <c r="E82" s="3"/>
      <c r="F82" s="3"/>
      <c r="G82" s="3"/>
      <c r="H82" s="3"/>
      <c r="I82" s="3"/>
      <c r="J82" s="3"/>
      <c r="L82" s="3"/>
      <c r="M82" s="3"/>
      <c r="N82" s="3"/>
      <c r="O82" s="3"/>
      <c r="P82" s="3"/>
      <c r="Q82" s="3"/>
      <c r="R82" s="3"/>
      <c r="S82" s="3"/>
      <c r="T82" s="3"/>
    </row>
    <row r="83" spans="1:20" x14ac:dyDescent="0.25">
      <c r="A83" s="41" t="s">
        <v>518</v>
      </c>
      <c r="B83" s="3">
        <v>80</v>
      </c>
      <c r="C83" s="81" t="str">
        <f t="shared" si="0"/>
        <v>34</v>
      </c>
      <c r="D83" s="3" t="s">
        <v>138</v>
      </c>
      <c r="E83" s="3"/>
      <c r="F83" s="3">
        <v>0</v>
      </c>
      <c r="G83" s="3">
        <v>2</v>
      </c>
      <c r="H83" s="3"/>
      <c r="I83" s="3" t="s">
        <v>94</v>
      </c>
      <c r="J83" s="3"/>
      <c r="K83" s="3" t="s">
        <v>510</v>
      </c>
      <c r="L83" s="3"/>
      <c r="M83" s="3"/>
      <c r="N83" s="3"/>
      <c r="O83" s="3"/>
      <c r="P83" s="3"/>
      <c r="Q83" s="3"/>
      <c r="R83" s="3"/>
      <c r="S83" s="3"/>
      <c r="T83" s="3"/>
    </row>
    <row r="84" spans="1:20" x14ac:dyDescent="0.25">
      <c r="A84" s="25" t="s">
        <v>569</v>
      </c>
      <c r="B84" s="3">
        <v>80</v>
      </c>
      <c r="C84" s="81" t="str">
        <f t="shared" si="0"/>
        <v>35</v>
      </c>
      <c r="D84" s="3" t="s">
        <v>129</v>
      </c>
      <c r="E84" s="3"/>
      <c r="F84" s="3"/>
      <c r="G84" s="3"/>
      <c r="H84" s="3"/>
      <c r="I84" s="3"/>
      <c r="J84" s="3"/>
      <c r="L84" s="3"/>
      <c r="M84" s="3"/>
      <c r="N84" s="3"/>
      <c r="O84" s="3"/>
      <c r="P84" s="3"/>
      <c r="Q84" s="3"/>
      <c r="R84" s="3"/>
      <c r="S84" s="3"/>
      <c r="T84" s="3"/>
    </row>
    <row r="85" spans="1:20" x14ac:dyDescent="0.25">
      <c r="A85" s="25" t="s">
        <v>570</v>
      </c>
      <c r="B85" s="3"/>
      <c r="C85" s="81" t="str">
        <f t="shared" si="0"/>
        <v>36</v>
      </c>
      <c r="D85" s="3"/>
      <c r="E85" s="3"/>
      <c r="F85" s="3"/>
      <c r="G85" s="3"/>
      <c r="H85" s="3"/>
      <c r="I85" s="3"/>
      <c r="J85" s="3"/>
      <c r="L85" s="3"/>
      <c r="M85" s="3"/>
      <c r="N85" s="3"/>
      <c r="O85" s="3"/>
      <c r="P85" s="3"/>
      <c r="Q85" s="3"/>
      <c r="R85" s="3"/>
      <c r="S85" s="3"/>
      <c r="T85" s="3"/>
    </row>
    <row r="86" spans="1:20" x14ac:dyDescent="0.25">
      <c r="A86" s="25" t="s">
        <v>571</v>
      </c>
      <c r="B86" s="3"/>
      <c r="C86" s="81" t="str">
        <f t="shared" si="0"/>
        <v>37</v>
      </c>
      <c r="D86" s="3"/>
      <c r="E86" s="3"/>
      <c r="F86" s="3"/>
      <c r="G86" s="3"/>
      <c r="H86" s="3"/>
      <c r="I86" s="3"/>
      <c r="J86" s="3"/>
      <c r="L86" s="3"/>
      <c r="M86" s="3"/>
      <c r="N86" s="3"/>
      <c r="O86" s="3"/>
      <c r="P86" s="3"/>
      <c r="Q86" s="3"/>
      <c r="R86" s="3"/>
      <c r="S86" s="3"/>
      <c r="T86" s="3"/>
    </row>
    <row r="87" spans="1:20" x14ac:dyDescent="0.25">
      <c r="A87" s="61" t="s">
        <v>519</v>
      </c>
      <c r="B87" s="3">
        <v>80</v>
      </c>
      <c r="C87" s="81" t="str">
        <f t="shared" si="0"/>
        <v>38</v>
      </c>
      <c r="D87" s="3" t="s">
        <v>138</v>
      </c>
      <c r="E87" s="3"/>
      <c r="F87" s="3">
        <v>0</v>
      </c>
      <c r="G87" s="3">
        <v>2</v>
      </c>
      <c r="H87" s="3"/>
      <c r="I87" s="3" t="s">
        <v>94</v>
      </c>
      <c r="J87" s="3"/>
      <c r="K87" s="3" t="s">
        <v>510</v>
      </c>
      <c r="L87" s="3"/>
      <c r="M87" s="3"/>
      <c r="N87" s="3"/>
      <c r="O87" s="3"/>
      <c r="P87" s="3"/>
      <c r="Q87" s="3"/>
      <c r="R87" s="3"/>
      <c r="S87" s="3"/>
      <c r="T87" s="3"/>
    </row>
    <row r="88" spans="1:20" x14ac:dyDescent="0.25">
      <c r="A88" s="25" t="s">
        <v>572</v>
      </c>
      <c r="B88" s="3">
        <v>80</v>
      </c>
      <c r="C88" s="81" t="str">
        <f t="shared" si="0"/>
        <v>39</v>
      </c>
      <c r="D88" s="3" t="s">
        <v>129</v>
      </c>
      <c r="E88" s="3"/>
      <c r="F88" s="3"/>
      <c r="G88" s="3"/>
      <c r="H88" s="3"/>
      <c r="I88" s="3"/>
      <c r="J88" s="3"/>
      <c r="L88" s="3"/>
      <c r="M88" s="3"/>
      <c r="N88" s="3"/>
      <c r="O88" s="3"/>
      <c r="P88" s="3"/>
      <c r="Q88" s="3"/>
      <c r="R88" s="3"/>
      <c r="S88" s="3"/>
      <c r="T88" s="3"/>
    </row>
    <row r="89" spans="1:20" x14ac:dyDescent="0.25">
      <c r="A89" s="25" t="s">
        <v>573</v>
      </c>
      <c r="B89" s="3"/>
      <c r="C89" s="81" t="str">
        <f t="shared" si="0"/>
        <v>3A</v>
      </c>
      <c r="D89" s="3"/>
      <c r="E89" s="3"/>
      <c r="F89" s="3"/>
      <c r="G89" s="3"/>
      <c r="H89" s="3"/>
      <c r="I89" s="3"/>
      <c r="J89" s="3"/>
      <c r="L89" s="3"/>
      <c r="M89" s="3"/>
      <c r="N89" s="3"/>
      <c r="O89" s="3"/>
      <c r="P89" s="3"/>
      <c r="Q89" s="3"/>
      <c r="R89" s="3"/>
      <c r="S89" s="3"/>
      <c r="T89" s="3"/>
    </row>
    <row r="90" spans="1:20" x14ac:dyDescent="0.25">
      <c r="A90" s="25" t="s">
        <v>574</v>
      </c>
      <c r="B90" s="3"/>
      <c r="C90" s="81" t="str">
        <f t="shared" si="0"/>
        <v>3B</v>
      </c>
      <c r="D90" s="3"/>
      <c r="E90" s="3"/>
      <c r="F90" s="3"/>
      <c r="G90" s="3"/>
      <c r="H90" s="3"/>
      <c r="I90" s="3"/>
      <c r="J90" s="3"/>
      <c r="L90" s="3"/>
      <c r="M90" s="3"/>
      <c r="N90" s="3"/>
      <c r="O90" s="3"/>
      <c r="P90" s="3"/>
      <c r="Q90" s="3"/>
      <c r="R90" s="3"/>
      <c r="S90" s="3"/>
      <c r="T90" s="3"/>
    </row>
    <row r="91" spans="1:20" x14ac:dyDescent="0.25">
      <c r="A91" s="61" t="s">
        <v>520</v>
      </c>
      <c r="B91" s="3">
        <v>80</v>
      </c>
      <c r="C91" s="81" t="str">
        <f>DEC2HEX(HEX2DEC(C90)+1)</f>
        <v>3C</v>
      </c>
      <c r="D91" s="3" t="s">
        <v>138</v>
      </c>
      <c r="E91" s="3"/>
      <c r="F91" s="3">
        <v>0</v>
      </c>
      <c r="G91" s="3">
        <v>2</v>
      </c>
      <c r="H91" s="3"/>
      <c r="I91" s="3" t="s">
        <v>94</v>
      </c>
      <c r="J91" s="3"/>
      <c r="K91" s="3" t="s">
        <v>510</v>
      </c>
      <c r="L91" s="3"/>
      <c r="M91" s="3"/>
      <c r="N91" s="3"/>
      <c r="O91" s="3"/>
      <c r="P91" s="3"/>
      <c r="Q91" s="3"/>
      <c r="R91" s="3"/>
      <c r="S91" s="3"/>
      <c r="T91" s="3"/>
    </row>
    <row r="92" spans="1:20" x14ac:dyDescent="0.25">
      <c r="A92" s="25" t="s">
        <v>575</v>
      </c>
      <c r="B92" s="3">
        <v>80</v>
      </c>
      <c r="C92" s="81" t="str">
        <f t="shared" si="0"/>
        <v>3D</v>
      </c>
      <c r="D92" s="3" t="s">
        <v>129</v>
      </c>
      <c r="E92" s="3"/>
      <c r="F92" s="3"/>
      <c r="G92" s="3"/>
      <c r="H92" s="3"/>
      <c r="I92" s="3"/>
      <c r="J92" s="3"/>
      <c r="L92" s="3"/>
      <c r="M92" s="3"/>
      <c r="N92" s="3"/>
      <c r="O92" s="3"/>
      <c r="P92" s="3"/>
      <c r="Q92" s="3"/>
      <c r="R92" s="3"/>
      <c r="S92" s="3"/>
      <c r="T92" s="3"/>
    </row>
    <row r="93" spans="1:20" x14ac:dyDescent="0.25">
      <c r="A93" s="25" t="s">
        <v>576</v>
      </c>
      <c r="B93" s="3"/>
      <c r="C93" s="81" t="str">
        <f t="shared" si="0"/>
        <v>3E</v>
      </c>
      <c r="D93" s="3"/>
      <c r="E93" s="3"/>
      <c r="F93" s="3"/>
      <c r="G93" s="3"/>
      <c r="H93" s="3"/>
      <c r="I93" s="3"/>
      <c r="J93" s="3"/>
      <c r="L93" s="3"/>
      <c r="M93" s="3"/>
      <c r="N93" s="3"/>
      <c r="O93" s="3"/>
      <c r="P93" s="3"/>
      <c r="Q93" s="3"/>
      <c r="R93" s="3"/>
      <c r="S93" s="3"/>
      <c r="T93" s="3"/>
    </row>
    <row r="94" spans="1:20" x14ac:dyDescent="0.25">
      <c r="A94" s="25" t="s">
        <v>577</v>
      </c>
      <c r="B94" s="3"/>
      <c r="C94" s="81" t="str">
        <f t="shared" si="0"/>
        <v>3F</v>
      </c>
      <c r="D94" s="3"/>
      <c r="E94" s="3"/>
      <c r="F94" s="3"/>
      <c r="G94" s="3"/>
      <c r="H94" s="3"/>
      <c r="I94" s="3"/>
      <c r="J94" s="3"/>
      <c r="L94" s="3"/>
      <c r="M94" s="3"/>
      <c r="N94" s="3"/>
      <c r="O94" s="3"/>
      <c r="P94" s="3"/>
      <c r="Q94" s="3"/>
      <c r="R94" s="3"/>
      <c r="S94" s="3"/>
      <c r="T94" s="3"/>
    </row>
    <row r="95" spans="1:20" x14ac:dyDescent="0.25">
      <c r="A95" s="54" t="s">
        <v>168</v>
      </c>
      <c r="B95" s="3">
        <v>80</v>
      </c>
      <c r="C95" s="81" t="str">
        <f t="shared" si="0"/>
        <v>40</v>
      </c>
      <c r="D95" s="3" t="s">
        <v>241</v>
      </c>
      <c r="E95" s="3"/>
      <c r="F95" s="3"/>
      <c r="G95" s="3"/>
      <c r="H95" s="3"/>
      <c r="I95" s="3"/>
      <c r="J95" s="3"/>
      <c r="L95" s="3"/>
      <c r="M95" s="3"/>
      <c r="N95" s="3"/>
      <c r="O95" s="3"/>
      <c r="P95" s="3"/>
      <c r="Q95" s="3"/>
      <c r="R95" s="3"/>
      <c r="S95" s="3"/>
      <c r="T95" s="3"/>
    </row>
    <row r="96" spans="1:20" x14ac:dyDescent="0.25">
      <c r="A96" s="41" t="s">
        <v>584</v>
      </c>
      <c r="B96" s="3">
        <v>80</v>
      </c>
      <c r="C96" s="81" t="str">
        <f t="shared" si="0"/>
        <v>41</v>
      </c>
      <c r="D96" s="3" t="s">
        <v>138</v>
      </c>
      <c r="E96" s="3"/>
      <c r="F96" s="3">
        <v>0</v>
      </c>
      <c r="G96" s="3">
        <v>7</v>
      </c>
      <c r="H96" s="3"/>
      <c r="I96" s="3" t="s">
        <v>94</v>
      </c>
      <c r="J96" s="3"/>
      <c r="K96" s="3" t="s">
        <v>591</v>
      </c>
      <c r="L96" s="3"/>
      <c r="M96" s="3"/>
      <c r="N96" s="3"/>
      <c r="O96" s="3"/>
      <c r="P96" s="3"/>
      <c r="Q96" s="3"/>
      <c r="R96" s="3"/>
      <c r="S96" s="3"/>
      <c r="T96" s="3"/>
    </row>
    <row r="97" spans="1:20" x14ac:dyDescent="0.25">
      <c r="A97" s="47" t="s">
        <v>578</v>
      </c>
      <c r="B97" s="3">
        <v>80</v>
      </c>
      <c r="C97" s="81" t="str">
        <f t="shared" si="0"/>
        <v>42</v>
      </c>
      <c r="D97" s="3"/>
      <c r="E97" s="3"/>
      <c r="F97" s="3"/>
      <c r="G97" s="3"/>
      <c r="H97" s="3"/>
      <c r="I97" s="3"/>
      <c r="J97" s="3" t="s">
        <v>489</v>
      </c>
      <c r="L97" s="3"/>
      <c r="M97" s="3"/>
      <c r="N97" s="3"/>
      <c r="O97" s="3"/>
      <c r="P97" s="3"/>
      <c r="Q97" s="3"/>
      <c r="R97" s="3"/>
      <c r="S97" s="3"/>
      <c r="T97" s="3"/>
    </row>
    <row r="98" spans="1:20" x14ac:dyDescent="0.25">
      <c r="A98" s="47" t="s">
        <v>541</v>
      </c>
      <c r="B98" s="3">
        <v>80</v>
      </c>
      <c r="C98" s="81" t="str">
        <f t="shared" si="0"/>
        <v>43</v>
      </c>
      <c r="D98" s="3"/>
      <c r="E98" s="3"/>
      <c r="F98" s="3"/>
      <c r="G98" s="3"/>
      <c r="H98" s="3"/>
      <c r="I98" s="3"/>
      <c r="J98" s="3" t="s">
        <v>489</v>
      </c>
      <c r="L98" s="3"/>
      <c r="M98" s="3"/>
      <c r="N98" s="3"/>
      <c r="O98" s="3"/>
      <c r="P98" s="3"/>
      <c r="Q98" s="3"/>
      <c r="R98" s="3"/>
      <c r="S98" s="3"/>
      <c r="T98" s="3"/>
    </row>
    <row r="99" spans="1:20" x14ac:dyDescent="0.25">
      <c r="A99" s="47" t="s">
        <v>542</v>
      </c>
      <c r="B99" s="3">
        <v>80</v>
      </c>
      <c r="C99" s="81" t="str">
        <f t="shared" ref="C99:C104" si="1">DEC2HEX(HEX2DEC(C98)+1)</f>
        <v>44</v>
      </c>
      <c r="D99" s="3"/>
      <c r="E99" s="3"/>
      <c r="F99" s="3"/>
      <c r="G99" s="3"/>
      <c r="H99" s="3"/>
      <c r="I99" s="3"/>
      <c r="J99" s="3" t="s">
        <v>489</v>
      </c>
      <c r="L99" s="3"/>
      <c r="M99" s="3"/>
      <c r="N99" s="3"/>
      <c r="O99" s="3"/>
      <c r="P99" s="3"/>
      <c r="Q99" s="3"/>
      <c r="R99" s="3"/>
      <c r="S99" s="3"/>
      <c r="T99" s="3"/>
    </row>
    <row r="100" spans="1:20" x14ac:dyDescent="0.25">
      <c r="A100" s="47" t="s">
        <v>543</v>
      </c>
      <c r="B100" s="3">
        <v>80</v>
      </c>
      <c r="C100" s="81" t="str">
        <f t="shared" si="1"/>
        <v>45</v>
      </c>
      <c r="D100" s="3"/>
      <c r="E100" s="3"/>
      <c r="F100" s="3"/>
      <c r="G100" s="3"/>
      <c r="H100" s="3"/>
      <c r="I100" s="3"/>
      <c r="J100" s="3" t="s">
        <v>489</v>
      </c>
      <c r="L100" s="3"/>
      <c r="M100" s="3"/>
      <c r="N100" s="3"/>
      <c r="O100" s="3"/>
      <c r="P100" s="3"/>
      <c r="Q100" s="3"/>
      <c r="R100" s="3"/>
      <c r="S100" s="3"/>
      <c r="T100" s="3"/>
    </row>
    <row r="101" spans="1:20" x14ac:dyDescent="0.25">
      <c r="A101" s="47" t="s">
        <v>544</v>
      </c>
      <c r="B101" s="3">
        <v>80</v>
      </c>
      <c r="C101" s="81" t="str">
        <f t="shared" si="1"/>
        <v>46</v>
      </c>
      <c r="D101" s="3"/>
      <c r="E101" s="3"/>
      <c r="F101" s="3"/>
      <c r="G101" s="3"/>
      <c r="H101" s="3"/>
      <c r="I101" s="3"/>
      <c r="J101" s="3" t="s">
        <v>489</v>
      </c>
      <c r="L101" s="3"/>
      <c r="M101" s="3"/>
      <c r="N101" s="3"/>
      <c r="O101" s="3"/>
      <c r="P101" s="3"/>
      <c r="Q101" s="3"/>
      <c r="R101" s="3"/>
      <c r="S101" s="3"/>
      <c r="T101" s="3"/>
    </row>
    <row r="102" spans="1:20" x14ac:dyDescent="0.25">
      <c r="A102" s="47" t="s">
        <v>545</v>
      </c>
      <c r="B102" s="3">
        <v>80</v>
      </c>
      <c r="C102" s="81" t="str">
        <f t="shared" si="1"/>
        <v>47</v>
      </c>
      <c r="D102" s="3"/>
      <c r="E102" s="3"/>
      <c r="F102" s="3"/>
      <c r="G102" s="3"/>
      <c r="H102" s="3"/>
      <c r="I102" s="3"/>
      <c r="J102" s="3" t="s">
        <v>489</v>
      </c>
      <c r="L102" s="3"/>
      <c r="M102" s="3"/>
      <c r="N102" s="3"/>
      <c r="O102" s="3"/>
      <c r="P102" s="3"/>
      <c r="Q102" s="3"/>
      <c r="R102" s="3"/>
      <c r="S102" s="3"/>
      <c r="T102" s="3"/>
    </row>
    <row r="103" spans="1:20" x14ac:dyDescent="0.25">
      <c r="A103" s="47" t="s">
        <v>546</v>
      </c>
      <c r="B103" s="3">
        <v>80</v>
      </c>
      <c r="C103" s="81" t="str">
        <f t="shared" si="1"/>
        <v>48</v>
      </c>
      <c r="D103" s="3"/>
      <c r="E103" s="3"/>
      <c r="F103" s="3"/>
      <c r="G103" s="3"/>
      <c r="H103" s="3"/>
      <c r="I103" s="3"/>
      <c r="J103" s="3" t="s">
        <v>489</v>
      </c>
      <c r="L103" s="3"/>
      <c r="M103" s="3"/>
      <c r="N103" s="3"/>
      <c r="O103" s="3"/>
      <c r="P103" s="3"/>
      <c r="Q103" s="3"/>
      <c r="R103" s="3"/>
      <c r="S103" s="3"/>
      <c r="T103" s="3"/>
    </row>
    <row r="104" spans="1:20" x14ac:dyDescent="0.25">
      <c r="A104" s="47" t="s">
        <v>547</v>
      </c>
      <c r="B104" s="3">
        <v>80</v>
      </c>
      <c r="C104" s="81" t="str">
        <f t="shared" si="1"/>
        <v>49</v>
      </c>
      <c r="D104" s="3"/>
      <c r="E104" s="3"/>
      <c r="F104" s="3"/>
      <c r="G104" s="3"/>
      <c r="H104" s="3"/>
      <c r="I104" s="3"/>
      <c r="J104" s="3" t="s">
        <v>489</v>
      </c>
      <c r="L104" s="3"/>
      <c r="M104" s="3"/>
      <c r="N104" s="3"/>
      <c r="O104" s="3"/>
      <c r="P104" s="3"/>
      <c r="Q104" s="3"/>
      <c r="R104" s="3"/>
      <c r="S104" s="3"/>
      <c r="T104" s="3"/>
    </row>
    <row r="105" spans="1:20" x14ac:dyDescent="0.25">
      <c r="A105" s="47" t="s">
        <v>548</v>
      </c>
      <c r="B105" s="3">
        <v>80</v>
      </c>
      <c r="C105" s="81" t="str">
        <f>DEC2HEX(HEX2DEC(C104)+1)</f>
        <v>4A</v>
      </c>
      <c r="D105" s="3"/>
      <c r="E105" s="3"/>
      <c r="F105" s="3"/>
      <c r="G105" s="3"/>
      <c r="H105" s="3"/>
      <c r="I105" s="3"/>
      <c r="J105" s="3" t="s">
        <v>489</v>
      </c>
      <c r="L105" s="3"/>
      <c r="M105" s="3"/>
      <c r="N105" s="3"/>
      <c r="O105" s="3"/>
      <c r="P105" s="3"/>
      <c r="Q105" s="3"/>
      <c r="R105" s="3"/>
      <c r="S105" s="3"/>
      <c r="T105" s="3"/>
    </row>
    <row r="106" spans="1:20" x14ac:dyDescent="0.25">
      <c r="A106" s="61" t="s">
        <v>549</v>
      </c>
      <c r="B106" s="3">
        <v>80</v>
      </c>
      <c r="C106" s="81" t="str">
        <f t="shared" ref="C106:C117" si="2">DEC2HEX(HEX2DEC(C105)+1)</f>
        <v>4B</v>
      </c>
      <c r="D106" s="3"/>
      <c r="E106" s="3"/>
      <c r="F106" s="3"/>
      <c r="G106" s="3"/>
      <c r="H106" s="3"/>
      <c r="I106" s="3"/>
      <c r="J106" s="3" t="s">
        <v>489</v>
      </c>
      <c r="L106" s="3"/>
      <c r="M106" s="3"/>
      <c r="N106" s="3"/>
      <c r="O106" s="3"/>
      <c r="P106" s="3"/>
      <c r="Q106" s="3"/>
      <c r="R106" s="3"/>
      <c r="S106" s="3"/>
      <c r="T106" s="3"/>
    </row>
    <row r="107" spans="1:20" x14ac:dyDescent="0.25">
      <c r="A107" s="61" t="s">
        <v>550</v>
      </c>
      <c r="B107" s="3">
        <v>80</v>
      </c>
      <c r="C107" s="81" t="str">
        <f t="shared" si="2"/>
        <v>4C</v>
      </c>
      <c r="D107" s="3"/>
      <c r="E107" s="3"/>
      <c r="F107" s="3"/>
      <c r="G107" s="3"/>
      <c r="H107" s="3"/>
      <c r="I107" s="3"/>
      <c r="J107" s="3" t="s">
        <v>489</v>
      </c>
      <c r="L107" s="3"/>
      <c r="M107" s="3"/>
      <c r="N107" s="3"/>
      <c r="O107" s="3"/>
      <c r="P107" s="3"/>
      <c r="Q107" s="3"/>
      <c r="R107" s="3"/>
      <c r="S107" s="3"/>
      <c r="T107" s="3"/>
    </row>
    <row r="108" spans="1:20" x14ac:dyDescent="0.25">
      <c r="A108" s="41" t="s">
        <v>650</v>
      </c>
      <c r="B108" s="3">
        <v>80</v>
      </c>
      <c r="C108" s="81" t="str">
        <f t="shared" si="2"/>
        <v>4D</v>
      </c>
      <c r="D108" s="3" t="s">
        <v>141</v>
      </c>
      <c r="E108" s="3"/>
      <c r="F108" s="3">
        <v>0</v>
      </c>
      <c r="G108" s="3">
        <v>1</v>
      </c>
      <c r="H108" s="3"/>
      <c r="I108" s="3" t="s">
        <v>88</v>
      </c>
      <c r="J108" s="3"/>
      <c r="K108" s="3" t="s">
        <v>651</v>
      </c>
      <c r="L108" s="3"/>
      <c r="M108" s="3"/>
      <c r="N108" s="3"/>
      <c r="O108" s="3"/>
      <c r="P108" s="3"/>
      <c r="Q108" s="3"/>
      <c r="R108" s="3"/>
      <c r="S108" s="3"/>
      <c r="T108" s="3"/>
    </row>
    <row r="109" spans="1:20" x14ac:dyDescent="0.25">
      <c r="A109" s="61" t="s">
        <v>379</v>
      </c>
      <c r="B109" s="3">
        <v>80</v>
      </c>
      <c r="C109" s="81" t="str">
        <f t="shared" si="2"/>
        <v>4E</v>
      </c>
      <c r="D109" s="3"/>
      <c r="E109" s="3"/>
      <c r="F109" s="3"/>
      <c r="G109" s="3"/>
      <c r="H109" s="3"/>
      <c r="I109" s="3"/>
      <c r="J109" s="3" t="s">
        <v>489</v>
      </c>
      <c r="L109" s="3"/>
      <c r="M109" s="3"/>
      <c r="N109" s="3"/>
      <c r="O109" s="3"/>
      <c r="P109" s="3"/>
      <c r="Q109" s="3"/>
      <c r="R109" s="3"/>
      <c r="S109" s="3"/>
      <c r="T109" s="3"/>
    </row>
    <row r="110" spans="1:20" x14ac:dyDescent="0.25">
      <c r="A110" s="61" t="s">
        <v>380</v>
      </c>
      <c r="B110" s="3">
        <v>80</v>
      </c>
      <c r="C110" s="81" t="str">
        <f t="shared" si="2"/>
        <v>4F</v>
      </c>
      <c r="D110" s="3"/>
      <c r="E110" s="3"/>
      <c r="F110" s="3"/>
      <c r="G110" s="3"/>
      <c r="H110" s="3"/>
      <c r="I110" s="3"/>
      <c r="J110" s="3" t="s">
        <v>489</v>
      </c>
      <c r="L110" s="3"/>
      <c r="M110" s="3"/>
      <c r="N110" s="3"/>
      <c r="O110" s="3"/>
      <c r="P110" s="3"/>
      <c r="Q110" s="3"/>
      <c r="R110" s="3"/>
      <c r="S110" s="3"/>
      <c r="T110" s="3"/>
    </row>
    <row r="111" spans="1:20" x14ac:dyDescent="0.25">
      <c r="A111" s="61" t="s">
        <v>381</v>
      </c>
      <c r="B111" s="3">
        <v>80</v>
      </c>
      <c r="C111" s="81" t="str">
        <f t="shared" si="2"/>
        <v>50</v>
      </c>
      <c r="D111" s="3"/>
      <c r="E111" s="3"/>
      <c r="F111" s="3"/>
      <c r="G111" s="3"/>
      <c r="H111" s="3"/>
      <c r="I111" s="3"/>
      <c r="J111" s="3" t="s">
        <v>489</v>
      </c>
      <c r="L111" s="3"/>
      <c r="M111" s="3"/>
      <c r="N111" s="3"/>
      <c r="O111" s="3"/>
      <c r="P111" s="3"/>
      <c r="Q111" s="3"/>
      <c r="R111" s="3"/>
      <c r="S111" s="3"/>
      <c r="T111" s="3"/>
    </row>
    <row r="112" spans="1:20" x14ac:dyDescent="0.25">
      <c r="A112" s="61" t="s">
        <v>382</v>
      </c>
      <c r="B112" s="3">
        <v>80</v>
      </c>
      <c r="C112" s="81" t="str">
        <f t="shared" si="2"/>
        <v>51</v>
      </c>
      <c r="D112" s="3"/>
      <c r="E112" s="3"/>
      <c r="F112" s="3"/>
      <c r="G112" s="3"/>
      <c r="H112" s="3"/>
      <c r="I112" s="3"/>
      <c r="J112" s="3" t="s">
        <v>489</v>
      </c>
      <c r="L112" s="3"/>
      <c r="M112" s="3"/>
      <c r="N112" s="3"/>
      <c r="O112" s="3"/>
      <c r="P112" s="3"/>
      <c r="Q112" s="3"/>
      <c r="R112" s="3"/>
      <c r="S112" s="3"/>
      <c r="T112" s="3"/>
    </row>
    <row r="113" spans="1:20" x14ac:dyDescent="0.25">
      <c r="A113" s="41" t="s">
        <v>642</v>
      </c>
      <c r="B113" s="3">
        <v>80</v>
      </c>
      <c r="C113" s="81" t="str">
        <f t="shared" si="2"/>
        <v>52</v>
      </c>
      <c r="D113" s="3" t="s">
        <v>241</v>
      </c>
      <c r="E113" s="3"/>
      <c r="F113" s="3">
        <v>0</v>
      </c>
      <c r="G113" s="3">
        <v>32767</v>
      </c>
      <c r="H113" s="3" t="s">
        <v>643</v>
      </c>
      <c r="I113" s="3" t="s">
        <v>88</v>
      </c>
      <c r="J113" s="3"/>
      <c r="L113" s="3"/>
      <c r="M113" s="3"/>
      <c r="N113" s="3"/>
      <c r="O113" s="3"/>
      <c r="P113" s="3"/>
      <c r="Q113" s="3"/>
      <c r="R113" s="3"/>
      <c r="S113" s="3"/>
      <c r="T113" s="3"/>
    </row>
    <row r="114" spans="1:20" x14ac:dyDescent="0.25">
      <c r="A114" s="41" t="s">
        <v>652</v>
      </c>
      <c r="B114" s="3">
        <v>80</v>
      </c>
      <c r="C114" s="81" t="str">
        <f t="shared" si="2"/>
        <v>53</v>
      </c>
      <c r="D114" s="3" t="s">
        <v>241</v>
      </c>
      <c r="E114" s="3"/>
      <c r="F114" s="3">
        <v>0</v>
      </c>
      <c r="G114" s="3">
        <v>32767</v>
      </c>
      <c r="H114" s="3" t="s">
        <v>643</v>
      </c>
      <c r="I114" s="3" t="s">
        <v>94</v>
      </c>
      <c r="J114" s="3"/>
      <c r="L114" s="3"/>
      <c r="M114" s="3"/>
      <c r="N114" s="3"/>
      <c r="O114" s="3"/>
      <c r="P114" s="3"/>
      <c r="Q114" s="3"/>
      <c r="R114" s="3"/>
      <c r="S114" s="3"/>
      <c r="T114" s="3"/>
    </row>
    <row r="115" spans="1:20" x14ac:dyDescent="0.25">
      <c r="A115" s="41" t="s">
        <v>653</v>
      </c>
      <c r="B115" s="3">
        <v>80</v>
      </c>
      <c r="C115" s="81" t="str">
        <f t="shared" si="2"/>
        <v>54</v>
      </c>
      <c r="D115" s="3" t="s">
        <v>241</v>
      </c>
      <c r="E115" s="3"/>
      <c r="F115" s="3">
        <v>0</v>
      </c>
      <c r="G115" s="3">
        <v>32767</v>
      </c>
      <c r="H115" s="3" t="s">
        <v>643</v>
      </c>
      <c r="I115" s="3" t="s">
        <v>94</v>
      </c>
      <c r="J115" s="3"/>
      <c r="L115" s="3"/>
      <c r="M115" s="3"/>
      <c r="N115" s="3"/>
      <c r="O115" s="3"/>
      <c r="P115" s="3"/>
      <c r="Q115" s="3"/>
      <c r="R115" s="3"/>
      <c r="S115" s="3"/>
      <c r="T115" s="3"/>
    </row>
    <row r="116" spans="1:20" x14ac:dyDescent="0.25">
      <c r="A116" s="19" t="s">
        <v>655</v>
      </c>
      <c r="B116" s="3">
        <v>80</v>
      </c>
      <c r="C116" s="81" t="str">
        <f t="shared" si="2"/>
        <v>55</v>
      </c>
      <c r="D116" s="3" t="s">
        <v>226</v>
      </c>
      <c r="E116" s="3"/>
      <c r="F116" s="3" t="s">
        <v>656</v>
      </c>
      <c r="G116" s="3" t="s">
        <v>657</v>
      </c>
      <c r="H116" s="3" t="s">
        <v>658</v>
      </c>
      <c r="I116" s="3" t="s">
        <v>88</v>
      </c>
      <c r="J116" s="3"/>
      <c r="K116" s="3" t="s">
        <v>659</v>
      </c>
      <c r="L116" s="3"/>
      <c r="M116" s="3"/>
      <c r="N116" s="3"/>
      <c r="O116" s="3"/>
      <c r="P116" s="3"/>
      <c r="Q116" s="3"/>
      <c r="R116" s="3"/>
      <c r="S116" s="3"/>
      <c r="T116" s="3"/>
    </row>
    <row r="117" spans="1:20" x14ac:dyDescent="0.25">
      <c r="A117" s="19" t="s">
        <v>669</v>
      </c>
      <c r="B117" s="3">
        <v>80</v>
      </c>
      <c r="C117" s="81" t="str">
        <f t="shared" si="2"/>
        <v>56</v>
      </c>
      <c r="D117" s="3" t="s">
        <v>226</v>
      </c>
      <c r="E117" s="3"/>
      <c r="F117" s="3" t="s">
        <v>656</v>
      </c>
      <c r="G117" s="3" t="s">
        <v>657</v>
      </c>
      <c r="H117" s="3" t="s">
        <v>658</v>
      </c>
      <c r="I117" s="3" t="s">
        <v>88</v>
      </c>
      <c r="J117" s="3"/>
      <c r="K117" s="3" t="s">
        <v>660</v>
      </c>
      <c r="L117" s="3"/>
      <c r="M117" s="3"/>
      <c r="N117" s="3"/>
      <c r="O117" s="3"/>
      <c r="P117" s="3"/>
      <c r="Q117" s="3"/>
      <c r="R117" s="3"/>
      <c r="S117" s="3"/>
      <c r="T117" s="3"/>
    </row>
    <row r="118" spans="1:20" x14ac:dyDescent="0.25">
      <c r="A118" s="54" t="s">
        <v>670</v>
      </c>
      <c r="B118" s="3">
        <v>80</v>
      </c>
      <c r="C118" s="81" t="str">
        <f>DEC2HEX(HEX2DEC(C117)+1)</f>
        <v>57</v>
      </c>
      <c r="D118" s="3" t="s">
        <v>132</v>
      </c>
      <c r="E118" s="3"/>
      <c r="F118" s="3"/>
      <c r="G118" s="3"/>
      <c r="H118" s="3" t="s">
        <v>671</v>
      </c>
      <c r="I118" s="3" t="s">
        <v>94</v>
      </c>
      <c r="J118" s="3"/>
      <c r="K118" s="3" t="s">
        <v>672</v>
      </c>
      <c r="L118" s="3"/>
      <c r="M118" s="3"/>
      <c r="N118" s="3"/>
      <c r="O118" s="3"/>
      <c r="P118" s="3"/>
      <c r="Q118" s="3"/>
      <c r="R118" s="3"/>
      <c r="S118" s="3"/>
      <c r="T118" s="3"/>
    </row>
    <row r="119" spans="1:20" x14ac:dyDescent="0.25">
      <c r="A119" s="83" t="s">
        <v>677</v>
      </c>
      <c r="B119" s="3">
        <v>80</v>
      </c>
      <c r="C119" s="81" t="str">
        <f t="shared" ref="C119:C143" si="3">DEC2HEX(HEX2DEC(C118)+1)</f>
        <v>58</v>
      </c>
      <c r="D119" s="3" t="s">
        <v>141</v>
      </c>
      <c r="E119" s="3"/>
      <c r="F119" s="3">
        <v>0</v>
      </c>
      <c r="G119" s="3">
        <v>1</v>
      </c>
      <c r="H119" s="3"/>
      <c r="I119" s="3" t="s">
        <v>88</v>
      </c>
      <c r="J119" s="3"/>
      <c r="K119" s="10" t="s">
        <v>683</v>
      </c>
    </row>
    <row r="120" spans="1:20" x14ac:dyDescent="0.25">
      <c r="A120" s="41" t="s">
        <v>678</v>
      </c>
      <c r="B120" s="3">
        <v>80</v>
      </c>
      <c r="C120" s="81" t="str">
        <f t="shared" si="3"/>
        <v>59</v>
      </c>
      <c r="D120" s="3" t="s">
        <v>241</v>
      </c>
      <c r="E120" s="3"/>
      <c r="F120" s="3">
        <v>20</v>
      </c>
      <c r="G120" s="3">
        <v>600</v>
      </c>
      <c r="H120" s="3" t="s">
        <v>681</v>
      </c>
      <c r="I120" s="3" t="s">
        <v>88</v>
      </c>
      <c r="J120" s="3"/>
      <c r="K120" s="10"/>
    </row>
    <row r="121" spans="1:20" x14ac:dyDescent="0.25">
      <c r="A121" s="41" t="s">
        <v>679</v>
      </c>
      <c r="B121" s="3">
        <v>80</v>
      </c>
      <c r="C121" s="81" t="str">
        <f t="shared" si="3"/>
        <v>5A</v>
      </c>
      <c r="D121" s="3" t="s">
        <v>141</v>
      </c>
      <c r="E121" s="3"/>
      <c r="F121" s="3">
        <v>0</v>
      </c>
      <c r="G121" s="3">
        <v>1</v>
      </c>
      <c r="H121" s="3"/>
      <c r="I121" s="3" t="s">
        <v>88</v>
      </c>
      <c r="J121" s="3"/>
      <c r="K121" s="10" t="s">
        <v>684</v>
      </c>
    </row>
    <row r="122" spans="1:20" x14ac:dyDescent="0.25">
      <c r="A122" s="41" t="s">
        <v>680</v>
      </c>
      <c r="B122" s="3">
        <v>80</v>
      </c>
      <c r="C122" s="81" t="str">
        <f t="shared" si="3"/>
        <v>5B</v>
      </c>
      <c r="D122" s="3" t="s">
        <v>241</v>
      </c>
      <c r="E122" s="3"/>
      <c r="F122" s="3">
        <v>20</v>
      </c>
      <c r="G122" s="3">
        <v>600</v>
      </c>
      <c r="H122" s="3" t="s">
        <v>681</v>
      </c>
      <c r="I122" s="3" t="s">
        <v>88</v>
      </c>
      <c r="J122" s="3"/>
    </row>
    <row r="123" spans="1:20" x14ac:dyDescent="0.25">
      <c r="A123" s="61" t="s">
        <v>682</v>
      </c>
      <c r="B123" s="3">
        <v>80</v>
      </c>
      <c r="C123" s="81" t="str">
        <f t="shared" si="3"/>
        <v>5C</v>
      </c>
      <c r="D123" s="3" t="s">
        <v>141</v>
      </c>
      <c r="E123" s="3"/>
      <c r="F123" s="3">
        <v>0</v>
      </c>
      <c r="G123" s="3">
        <v>1</v>
      </c>
      <c r="H123" s="3"/>
      <c r="I123" s="3" t="s">
        <v>88</v>
      </c>
      <c r="J123" s="3"/>
      <c r="K123" s="3" t="s">
        <v>674</v>
      </c>
    </row>
    <row r="124" spans="1:20" x14ac:dyDescent="0.25">
      <c r="A124" s="61" t="s">
        <v>673</v>
      </c>
      <c r="B124" s="3">
        <v>80</v>
      </c>
      <c r="C124" s="81" t="str">
        <f t="shared" si="3"/>
        <v>5D</v>
      </c>
      <c r="D124" s="3" t="s">
        <v>141</v>
      </c>
      <c r="E124" s="3"/>
      <c r="F124" s="3">
        <v>0</v>
      </c>
      <c r="G124" s="3">
        <v>1</v>
      </c>
      <c r="H124" s="3"/>
      <c r="I124" s="3" t="s">
        <v>88</v>
      </c>
      <c r="J124" s="3"/>
      <c r="K124" s="3" t="s">
        <v>674</v>
      </c>
    </row>
    <row r="125" spans="1:20" x14ac:dyDescent="0.25">
      <c r="A125" s="61" t="s">
        <v>675</v>
      </c>
      <c r="B125" s="3">
        <v>80</v>
      </c>
      <c r="C125" s="81" t="str">
        <f t="shared" si="3"/>
        <v>5E</v>
      </c>
      <c r="D125" s="3" t="s">
        <v>141</v>
      </c>
      <c r="E125" s="3"/>
      <c r="F125" s="3">
        <v>0</v>
      </c>
      <c r="G125" s="3">
        <v>1</v>
      </c>
      <c r="H125" s="3"/>
      <c r="I125" s="3" t="s">
        <v>88</v>
      </c>
      <c r="J125" s="3"/>
      <c r="K125" s="3" t="s">
        <v>676</v>
      </c>
    </row>
    <row r="126" spans="1:20" x14ac:dyDescent="0.25">
      <c r="A126" s="41" t="s">
        <v>702</v>
      </c>
      <c r="B126" s="3">
        <v>80</v>
      </c>
      <c r="C126" s="81" t="str">
        <f t="shared" si="3"/>
        <v>5F</v>
      </c>
      <c r="D126" s="3" t="s">
        <v>141</v>
      </c>
      <c r="E126" s="3"/>
      <c r="F126" s="3">
        <v>0</v>
      </c>
      <c r="G126" s="3">
        <v>1</v>
      </c>
      <c r="H126" s="3"/>
      <c r="I126" s="3" t="s">
        <v>88</v>
      </c>
      <c r="J126" s="3"/>
      <c r="K126" s="3" t="s">
        <v>703</v>
      </c>
    </row>
    <row r="127" spans="1:20" x14ac:dyDescent="0.25">
      <c r="A127" s="41" t="s">
        <v>704</v>
      </c>
      <c r="B127" s="3">
        <v>80</v>
      </c>
      <c r="C127" s="81" t="str">
        <f t="shared" si="3"/>
        <v>60</v>
      </c>
      <c r="D127" s="3" t="s">
        <v>141</v>
      </c>
      <c r="E127" s="3"/>
      <c r="F127" s="3">
        <v>0</v>
      </c>
      <c r="G127" s="3">
        <v>1</v>
      </c>
      <c r="H127" s="3"/>
      <c r="I127" s="3" t="s">
        <v>88</v>
      </c>
      <c r="J127" s="3"/>
      <c r="K127" s="3" t="s">
        <v>705</v>
      </c>
    </row>
    <row r="128" spans="1:20" customFormat="1" x14ac:dyDescent="0.25">
      <c r="A128" s="41" t="s">
        <v>706</v>
      </c>
      <c r="B128" s="3">
        <v>80</v>
      </c>
      <c r="C128" s="81" t="str">
        <f t="shared" si="3"/>
        <v>61</v>
      </c>
      <c r="D128" s="3" t="s">
        <v>132</v>
      </c>
      <c r="E128" s="3" t="s">
        <v>724</v>
      </c>
      <c r="F128" s="3">
        <v>0</v>
      </c>
      <c r="G128" s="3">
        <v>16777215</v>
      </c>
      <c r="H128" s="3" t="s">
        <v>724</v>
      </c>
      <c r="I128" s="3" t="s">
        <v>88</v>
      </c>
      <c r="J128" s="3"/>
      <c r="K128" s="3" t="s">
        <v>707</v>
      </c>
      <c r="L128" s="3"/>
      <c r="M128" s="3"/>
      <c r="N128" s="3"/>
      <c r="O128" s="3"/>
      <c r="P128" s="3"/>
      <c r="Q128" s="3"/>
      <c r="R128" s="3"/>
      <c r="S128" s="3"/>
      <c r="T128" s="3"/>
    </row>
    <row r="129" spans="1:20" customFormat="1" x14ac:dyDescent="0.25">
      <c r="A129" s="41" t="s">
        <v>708</v>
      </c>
      <c r="B129" s="3">
        <v>80</v>
      </c>
      <c r="C129" s="81" t="str">
        <f t="shared" si="3"/>
        <v>62</v>
      </c>
      <c r="D129" s="3" t="s">
        <v>132</v>
      </c>
      <c r="E129" s="3" t="s">
        <v>724</v>
      </c>
      <c r="F129" s="3">
        <v>0</v>
      </c>
      <c r="G129" s="3">
        <v>16777215</v>
      </c>
      <c r="H129" s="3" t="s">
        <v>724</v>
      </c>
      <c r="I129" s="3" t="s">
        <v>88</v>
      </c>
      <c r="J129" s="3"/>
      <c r="K129" s="3" t="s">
        <v>707</v>
      </c>
      <c r="L129" s="3"/>
      <c r="M129" s="3"/>
      <c r="N129" s="3"/>
      <c r="O129" s="3"/>
      <c r="P129" s="3"/>
      <c r="Q129" s="3"/>
      <c r="R129" s="3"/>
      <c r="S129" s="3"/>
      <c r="T129" s="3"/>
    </row>
    <row r="130" spans="1:20" x14ac:dyDescent="0.25">
      <c r="A130" s="41" t="s">
        <v>709</v>
      </c>
      <c r="B130" s="3">
        <v>80</v>
      </c>
      <c r="C130" s="81" t="str">
        <f t="shared" si="3"/>
        <v>63</v>
      </c>
      <c r="D130" s="3" t="s">
        <v>141</v>
      </c>
      <c r="E130" s="3"/>
      <c r="F130" s="3">
        <v>0</v>
      </c>
      <c r="G130" s="3">
        <v>1</v>
      </c>
      <c r="H130" s="3"/>
      <c r="I130" s="3" t="s">
        <v>94</v>
      </c>
      <c r="J130" s="3"/>
      <c r="K130" s="3" t="s">
        <v>722</v>
      </c>
    </row>
    <row r="131" spans="1:20" x14ac:dyDescent="0.25">
      <c r="A131" s="41" t="s">
        <v>710</v>
      </c>
      <c r="B131" s="3">
        <v>80</v>
      </c>
      <c r="C131" s="81" t="str">
        <f t="shared" si="3"/>
        <v>64</v>
      </c>
      <c r="D131" s="3" t="s">
        <v>141</v>
      </c>
      <c r="E131" s="3"/>
      <c r="F131" s="3">
        <v>0</v>
      </c>
      <c r="G131" s="3">
        <v>1</v>
      </c>
      <c r="H131" s="3"/>
      <c r="I131" s="3" t="s">
        <v>94</v>
      </c>
      <c r="J131" s="3"/>
      <c r="K131" s="3" t="s">
        <v>722</v>
      </c>
    </row>
    <row r="132" spans="1:20" x14ac:dyDescent="0.25">
      <c r="A132" s="41" t="s">
        <v>711</v>
      </c>
      <c r="B132" s="3">
        <v>80</v>
      </c>
      <c r="C132" s="81" t="str">
        <f t="shared" si="3"/>
        <v>65</v>
      </c>
      <c r="D132" s="3" t="s">
        <v>141</v>
      </c>
      <c r="E132" s="3"/>
      <c r="F132" s="3">
        <v>0</v>
      </c>
      <c r="G132" s="3">
        <v>1</v>
      </c>
      <c r="H132" s="3"/>
      <c r="I132" s="3" t="s">
        <v>94</v>
      </c>
      <c r="J132" s="3"/>
      <c r="K132" s="3" t="s">
        <v>722</v>
      </c>
    </row>
    <row r="133" spans="1:20" x14ac:dyDescent="0.25">
      <c r="A133" s="41" t="s">
        <v>712</v>
      </c>
      <c r="B133" s="3">
        <v>80</v>
      </c>
      <c r="C133" s="81" t="str">
        <f t="shared" si="3"/>
        <v>66</v>
      </c>
      <c r="D133" s="3" t="s">
        <v>141</v>
      </c>
      <c r="E133" s="3"/>
      <c r="F133" s="3">
        <v>0</v>
      </c>
      <c r="G133" s="3">
        <v>1</v>
      </c>
      <c r="H133" s="3"/>
      <c r="I133" s="3" t="s">
        <v>94</v>
      </c>
      <c r="J133" s="3"/>
      <c r="K133" s="3" t="s">
        <v>722</v>
      </c>
    </row>
    <row r="134" spans="1:20" x14ac:dyDescent="0.25">
      <c r="A134" s="41" t="s">
        <v>713</v>
      </c>
      <c r="B134" s="3">
        <v>80</v>
      </c>
      <c r="C134" s="81" t="str">
        <f t="shared" si="3"/>
        <v>67</v>
      </c>
      <c r="D134" s="3" t="s">
        <v>141</v>
      </c>
      <c r="E134" s="3"/>
      <c r="F134" s="3">
        <v>0</v>
      </c>
      <c r="G134" s="3">
        <v>1</v>
      </c>
      <c r="H134" s="3"/>
      <c r="I134" s="3" t="s">
        <v>94</v>
      </c>
      <c r="J134" s="3"/>
      <c r="K134" s="3" t="s">
        <v>722</v>
      </c>
    </row>
    <row r="135" spans="1:20" x14ac:dyDescent="0.25">
      <c r="A135" s="41" t="s">
        <v>714</v>
      </c>
      <c r="B135" s="3">
        <v>80</v>
      </c>
      <c r="C135" s="81" t="str">
        <f t="shared" si="3"/>
        <v>68</v>
      </c>
      <c r="D135" s="3" t="s">
        <v>141</v>
      </c>
      <c r="E135" s="3"/>
      <c r="F135" s="3">
        <v>0</v>
      </c>
      <c r="G135" s="3">
        <v>1</v>
      </c>
      <c r="H135" s="3"/>
      <c r="I135" s="3" t="s">
        <v>94</v>
      </c>
      <c r="J135" s="3"/>
      <c r="K135" s="3" t="s">
        <v>722</v>
      </c>
    </row>
    <row r="136" spans="1:20" x14ac:dyDescent="0.25">
      <c r="A136" s="41" t="s">
        <v>715</v>
      </c>
      <c r="B136" s="3">
        <v>80</v>
      </c>
      <c r="C136" s="81" t="str">
        <f t="shared" si="3"/>
        <v>69</v>
      </c>
      <c r="D136" s="3" t="s">
        <v>141</v>
      </c>
      <c r="E136" s="3"/>
      <c r="F136" s="3">
        <v>0</v>
      </c>
      <c r="G136" s="3">
        <v>1</v>
      </c>
      <c r="H136" s="3"/>
      <c r="I136" s="3" t="s">
        <v>94</v>
      </c>
      <c r="J136" s="3"/>
      <c r="K136" s="3" t="s">
        <v>722</v>
      </c>
    </row>
    <row r="137" spans="1:20" x14ac:dyDescent="0.25">
      <c r="A137" s="41" t="s">
        <v>716</v>
      </c>
      <c r="B137" s="3">
        <v>80</v>
      </c>
      <c r="C137" s="81" t="str">
        <f t="shared" si="3"/>
        <v>6A</v>
      </c>
      <c r="D137" s="3" t="s">
        <v>141</v>
      </c>
      <c r="E137" s="3"/>
      <c r="F137" s="3">
        <v>0</v>
      </c>
      <c r="G137" s="3">
        <v>1</v>
      </c>
      <c r="H137" s="3"/>
      <c r="I137" s="3" t="s">
        <v>94</v>
      </c>
      <c r="J137" s="3"/>
      <c r="K137" s="3" t="s">
        <v>722</v>
      </c>
    </row>
    <row r="138" spans="1:20" x14ac:dyDescent="0.25">
      <c r="A138" s="41" t="s">
        <v>717</v>
      </c>
      <c r="B138" s="3">
        <v>80</v>
      </c>
      <c r="C138" s="81" t="str">
        <f t="shared" si="3"/>
        <v>6B</v>
      </c>
      <c r="D138" s="3" t="s">
        <v>141</v>
      </c>
      <c r="E138" s="3"/>
      <c r="F138" s="3">
        <v>0</v>
      </c>
      <c r="G138" s="3">
        <v>1</v>
      </c>
      <c r="H138" s="3"/>
      <c r="I138" s="3" t="s">
        <v>94</v>
      </c>
      <c r="J138" s="3"/>
      <c r="K138" s="3" t="s">
        <v>722</v>
      </c>
    </row>
    <row r="139" spans="1:20" x14ac:dyDescent="0.25">
      <c r="A139" s="41" t="s">
        <v>718</v>
      </c>
      <c r="B139" s="3">
        <v>80</v>
      </c>
      <c r="C139" s="81" t="str">
        <f t="shared" si="3"/>
        <v>6C</v>
      </c>
      <c r="D139" s="3" t="s">
        <v>141</v>
      </c>
      <c r="E139" s="3"/>
      <c r="F139" s="3">
        <v>0</v>
      </c>
      <c r="G139" s="3">
        <v>1</v>
      </c>
      <c r="H139" s="3"/>
      <c r="I139" s="3" t="s">
        <v>94</v>
      </c>
      <c r="J139" s="3"/>
      <c r="K139" s="3" t="s">
        <v>722</v>
      </c>
    </row>
    <row r="140" spans="1:20" x14ac:dyDescent="0.25">
      <c r="A140" s="41" t="s">
        <v>719</v>
      </c>
      <c r="B140" s="3">
        <v>80</v>
      </c>
      <c r="C140" s="81" t="str">
        <f t="shared" si="3"/>
        <v>6D</v>
      </c>
      <c r="D140" s="3" t="s">
        <v>141</v>
      </c>
      <c r="E140" s="3"/>
      <c r="F140" s="3">
        <v>0</v>
      </c>
      <c r="G140" s="3">
        <v>1</v>
      </c>
      <c r="H140" s="3"/>
      <c r="I140" s="3" t="s">
        <v>94</v>
      </c>
      <c r="J140" s="3"/>
      <c r="K140" s="3" t="s">
        <v>722</v>
      </c>
    </row>
    <row r="141" spans="1:20" x14ac:dyDescent="0.25">
      <c r="A141" s="41" t="s">
        <v>720</v>
      </c>
      <c r="B141" s="3">
        <v>80</v>
      </c>
      <c r="C141" s="81" t="str">
        <f t="shared" si="3"/>
        <v>6E</v>
      </c>
      <c r="D141" s="3" t="s">
        <v>138</v>
      </c>
      <c r="E141" s="3"/>
      <c r="F141" s="3">
        <v>0</v>
      </c>
      <c r="G141" s="3">
        <v>2</v>
      </c>
      <c r="H141" s="3"/>
      <c r="I141" s="3" t="s">
        <v>94</v>
      </c>
      <c r="J141" s="3"/>
      <c r="K141" s="3" t="s">
        <v>721</v>
      </c>
    </row>
    <row r="142" spans="1:20" x14ac:dyDescent="0.25">
      <c r="A142" s="41" t="s">
        <v>723</v>
      </c>
      <c r="B142" s="3">
        <v>80</v>
      </c>
      <c r="C142" s="81" t="str">
        <f t="shared" si="3"/>
        <v>6F</v>
      </c>
      <c r="D142" s="3" t="s">
        <v>141</v>
      </c>
      <c r="E142" s="3"/>
      <c r="F142" s="3">
        <v>0</v>
      </c>
      <c r="G142" s="3">
        <v>1</v>
      </c>
      <c r="H142" s="3"/>
      <c r="I142" s="3" t="s">
        <v>94</v>
      </c>
      <c r="J142" s="3"/>
      <c r="K142" s="3" t="s">
        <v>722</v>
      </c>
    </row>
    <row r="143" spans="1:20" x14ac:dyDescent="0.25">
      <c r="A143" s="41" t="s">
        <v>777</v>
      </c>
      <c r="B143" s="3">
        <v>80</v>
      </c>
      <c r="C143" s="81" t="str">
        <f t="shared" si="3"/>
        <v>70</v>
      </c>
      <c r="D143" s="3" t="s">
        <v>141</v>
      </c>
      <c r="F143" s="3">
        <v>0</v>
      </c>
      <c r="G143" s="3">
        <v>1</v>
      </c>
      <c r="H143" s="3"/>
      <c r="I143" s="3" t="s">
        <v>88</v>
      </c>
      <c r="J143" s="3"/>
      <c r="K143" s="3" t="s">
        <v>778</v>
      </c>
    </row>
    <row r="144" spans="1:20" x14ac:dyDescent="0.25">
      <c r="A144" s="19" t="s">
        <v>849</v>
      </c>
      <c r="B144" s="3">
        <v>80</v>
      </c>
      <c r="C144" s="81" t="str">
        <f t="shared" ref="C144:C152" si="4">DEC2HEX(HEX2DEC(C143)+1)</f>
        <v>71</v>
      </c>
      <c r="D144" s="3" t="s">
        <v>226</v>
      </c>
      <c r="E144" s="3"/>
      <c r="F144" s="3"/>
      <c r="G144" s="3"/>
      <c r="H144" s="3" t="s">
        <v>227</v>
      </c>
      <c r="I144" s="3" t="s">
        <v>94</v>
      </c>
      <c r="J144" s="3"/>
      <c r="K144" s="3" t="s">
        <v>851</v>
      </c>
      <c r="L144" s="3"/>
      <c r="M144" s="3"/>
      <c r="N144" s="3"/>
      <c r="O144" s="3"/>
      <c r="P144" s="3"/>
      <c r="Q144" s="3"/>
      <c r="R144" s="3"/>
      <c r="S144" s="3"/>
      <c r="T144" s="3"/>
    </row>
    <row r="145" spans="1:20" x14ac:dyDescent="0.25">
      <c r="A145" s="19" t="s">
        <v>850</v>
      </c>
      <c r="B145" s="3">
        <v>80</v>
      </c>
      <c r="C145" s="81" t="str">
        <f t="shared" si="4"/>
        <v>72</v>
      </c>
      <c r="D145" s="3" t="s">
        <v>226</v>
      </c>
      <c r="E145" s="3"/>
      <c r="F145" s="3"/>
      <c r="G145" s="3"/>
      <c r="H145" s="3" t="s">
        <v>227</v>
      </c>
      <c r="I145" s="3" t="s">
        <v>94</v>
      </c>
      <c r="J145" s="3"/>
      <c r="K145" s="3" t="s">
        <v>852</v>
      </c>
      <c r="L145" s="3"/>
      <c r="M145" s="3"/>
      <c r="N145" s="3"/>
      <c r="O145" s="3"/>
      <c r="P145" s="3"/>
      <c r="Q145" s="3"/>
      <c r="R145" s="3"/>
      <c r="S145" s="3"/>
      <c r="T145" s="3"/>
    </row>
    <row r="146" spans="1:20" ht="30" x14ac:dyDescent="0.25">
      <c r="A146" s="19" t="s">
        <v>855</v>
      </c>
      <c r="B146" s="3">
        <v>80</v>
      </c>
      <c r="C146" s="81" t="str">
        <f t="shared" si="4"/>
        <v>73</v>
      </c>
      <c r="D146" s="3" t="s">
        <v>138</v>
      </c>
      <c r="E146" s="3"/>
      <c r="F146" s="3"/>
      <c r="G146" s="3"/>
      <c r="H146" s="3"/>
      <c r="I146" s="3" t="s">
        <v>104</v>
      </c>
      <c r="J146" s="3"/>
      <c r="K146" s="10" t="s">
        <v>589</v>
      </c>
      <c r="L146" s="3"/>
      <c r="M146" s="3"/>
      <c r="N146" s="3"/>
      <c r="O146" s="3"/>
      <c r="P146" s="3"/>
      <c r="Q146" s="3"/>
      <c r="R146" s="3"/>
      <c r="S146" s="3"/>
      <c r="T146" s="3"/>
    </row>
    <row r="147" spans="1:20" ht="30" x14ac:dyDescent="0.25">
      <c r="A147" s="19" t="s">
        <v>856</v>
      </c>
      <c r="B147" s="3">
        <v>80</v>
      </c>
      <c r="C147" s="81" t="str">
        <f t="shared" si="4"/>
        <v>74</v>
      </c>
      <c r="D147" s="3" t="s">
        <v>138</v>
      </c>
      <c r="E147" s="3"/>
      <c r="F147" s="3"/>
      <c r="G147" s="3"/>
      <c r="H147" s="3"/>
      <c r="I147" s="3" t="s">
        <v>104</v>
      </c>
      <c r="J147" s="3"/>
      <c r="K147" s="10" t="s">
        <v>589</v>
      </c>
      <c r="L147" s="3"/>
      <c r="M147" s="3"/>
      <c r="N147" s="3"/>
      <c r="O147" s="3"/>
      <c r="P147" s="3"/>
      <c r="Q147" s="3"/>
      <c r="R147" s="3"/>
      <c r="S147" s="3"/>
      <c r="T147" s="3"/>
    </row>
    <row r="148" spans="1:20" x14ac:dyDescent="0.25">
      <c r="A148" s="19" t="s">
        <v>862</v>
      </c>
      <c r="B148" s="3">
        <v>80</v>
      </c>
      <c r="C148" s="81" t="str">
        <f t="shared" si="4"/>
        <v>75</v>
      </c>
      <c r="D148" s="3" t="s">
        <v>226</v>
      </c>
      <c r="E148" s="3"/>
      <c r="F148" s="3"/>
      <c r="G148" s="3"/>
      <c r="H148" s="3" t="s">
        <v>227</v>
      </c>
      <c r="I148" s="3" t="s">
        <v>94</v>
      </c>
      <c r="J148" s="3"/>
      <c r="K148" s="3" t="s">
        <v>863</v>
      </c>
      <c r="L148" s="3"/>
      <c r="M148" s="3"/>
      <c r="N148" s="3"/>
      <c r="O148" s="3"/>
      <c r="P148" s="3"/>
      <c r="Q148" s="3"/>
      <c r="R148" s="3"/>
      <c r="S148" s="3"/>
      <c r="T148" s="3"/>
    </row>
    <row r="149" spans="1:20" x14ac:dyDescent="0.25">
      <c r="A149" s="19" t="s">
        <v>864</v>
      </c>
      <c r="B149" s="3">
        <v>80</v>
      </c>
      <c r="C149" s="81" t="str">
        <f t="shared" si="4"/>
        <v>76</v>
      </c>
      <c r="D149" s="3" t="s">
        <v>226</v>
      </c>
      <c r="E149" s="3"/>
      <c r="F149" s="3"/>
      <c r="G149" s="3"/>
      <c r="H149" s="3" t="s">
        <v>227</v>
      </c>
      <c r="I149" s="3" t="s">
        <v>94</v>
      </c>
      <c r="J149" s="3"/>
      <c r="K149" s="3" t="s">
        <v>863</v>
      </c>
      <c r="L149" s="3"/>
      <c r="M149" s="3"/>
      <c r="N149" s="3"/>
      <c r="O149" s="3"/>
      <c r="P149" s="3"/>
      <c r="Q149" s="3"/>
      <c r="R149" s="3"/>
      <c r="S149" s="3"/>
      <c r="T149" s="3"/>
    </row>
    <row r="150" spans="1:20" x14ac:dyDescent="0.25">
      <c r="A150" s="19" t="s">
        <v>865</v>
      </c>
      <c r="B150" s="3">
        <v>80</v>
      </c>
      <c r="C150" s="81" t="str">
        <f t="shared" si="4"/>
        <v>77</v>
      </c>
      <c r="D150" s="3" t="s">
        <v>226</v>
      </c>
      <c r="E150" s="3"/>
      <c r="F150" s="3"/>
      <c r="G150" s="3"/>
      <c r="H150" s="3" t="s">
        <v>227</v>
      </c>
      <c r="I150" s="3" t="s">
        <v>94</v>
      </c>
      <c r="J150" s="3"/>
      <c r="K150" s="3" t="s">
        <v>863</v>
      </c>
      <c r="L150" s="3"/>
      <c r="M150" s="3"/>
      <c r="N150" s="3"/>
      <c r="O150" s="3"/>
      <c r="P150" s="3"/>
      <c r="Q150" s="3"/>
      <c r="R150" s="3"/>
      <c r="S150" s="3"/>
      <c r="T150" s="3"/>
    </row>
    <row r="151" spans="1:20" x14ac:dyDescent="0.25">
      <c r="A151" s="19" t="s">
        <v>866</v>
      </c>
      <c r="B151" s="3">
        <v>80</v>
      </c>
      <c r="C151" s="81" t="str">
        <f t="shared" si="4"/>
        <v>78</v>
      </c>
      <c r="D151" s="3" t="s">
        <v>226</v>
      </c>
      <c r="E151" s="3"/>
      <c r="F151" s="3"/>
      <c r="G151" s="3"/>
      <c r="H151" s="3" t="s">
        <v>227</v>
      </c>
      <c r="I151" s="3" t="s">
        <v>94</v>
      </c>
      <c r="J151" s="3"/>
      <c r="K151" s="3" t="s">
        <v>863</v>
      </c>
      <c r="L151" s="3"/>
      <c r="M151" s="3"/>
      <c r="N151" s="3"/>
      <c r="O151" s="3"/>
      <c r="P151" s="3"/>
      <c r="Q151" s="3"/>
      <c r="R151" s="3"/>
      <c r="S151" s="3"/>
      <c r="T151" s="3"/>
    </row>
    <row r="152" spans="1:20" x14ac:dyDescent="0.25">
      <c r="A152" s="19" t="s">
        <v>867</v>
      </c>
      <c r="B152" s="3">
        <v>80</v>
      </c>
      <c r="C152" s="81" t="str">
        <f t="shared" si="4"/>
        <v>79</v>
      </c>
      <c r="D152" s="3" t="s">
        <v>226</v>
      </c>
      <c r="E152" s="3"/>
      <c r="F152" s="3"/>
      <c r="G152" s="3"/>
      <c r="H152" s="3" t="s">
        <v>227</v>
      </c>
      <c r="I152" s="3" t="s">
        <v>94</v>
      </c>
      <c r="J152" s="3"/>
      <c r="K152" s="3" t="s">
        <v>863</v>
      </c>
      <c r="L152" s="3"/>
      <c r="M152" s="3"/>
      <c r="N152" s="3"/>
      <c r="O152" s="3"/>
      <c r="P152" s="3"/>
      <c r="Q152" s="3"/>
      <c r="R152" s="3"/>
      <c r="S152" s="3"/>
      <c r="T152" s="3"/>
    </row>
    <row r="153" spans="1:20" x14ac:dyDescent="0.25">
      <c r="A153" s="19" t="s">
        <v>868</v>
      </c>
      <c r="B153" s="3">
        <v>80</v>
      </c>
      <c r="C153" s="81" t="str">
        <f t="shared" ref="C153:C157" si="5">DEC2HEX(HEX2DEC(C152)+1)</f>
        <v>7A</v>
      </c>
      <c r="D153" s="3" t="s">
        <v>226</v>
      </c>
      <c r="E153" s="3"/>
      <c r="F153" s="3"/>
      <c r="G153" s="3"/>
      <c r="H153" s="3" t="s">
        <v>227</v>
      </c>
      <c r="I153" s="3" t="s">
        <v>88</v>
      </c>
      <c r="J153" s="3"/>
      <c r="K153" s="3" t="s">
        <v>869</v>
      </c>
      <c r="L153" s="3"/>
      <c r="M153" s="3"/>
      <c r="N153" s="3"/>
      <c r="O153" s="3"/>
      <c r="P153" s="3"/>
      <c r="Q153" s="3"/>
      <c r="R153" s="3"/>
      <c r="S153" s="3"/>
      <c r="T153" s="3"/>
    </row>
    <row r="154" spans="1:20" customFormat="1" x14ac:dyDescent="0.25">
      <c r="A154" s="41" t="s">
        <v>908</v>
      </c>
      <c r="B154" s="3">
        <v>80</v>
      </c>
      <c r="C154" s="81" t="str">
        <f t="shared" si="5"/>
        <v>7B</v>
      </c>
      <c r="D154" s="3" t="s">
        <v>132</v>
      </c>
      <c r="E154" s="3" t="s">
        <v>724</v>
      </c>
      <c r="F154" s="3">
        <v>0</v>
      </c>
      <c r="G154" s="3">
        <v>4294967296</v>
      </c>
      <c r="H154" s="3" t="s">
        <v>909</v>
      </c>
      <c r="I154" s="3" t="s">
        <v>88</v>
      </c>
      <c r="J154" s="3"/>
      <c r="K154" s="3" t="s">
        <v>910</v>
      </c>
      <c r="L154" s="3"/>
      <c r="M154" s="3"/>
      <c r="N154" s="3"/>
      <c r="O154" s="3"/>
      <c r="P154" s="3"/>
      <c r="Q154" s="3"/>
      <c r="R154" s="3"/>
      <c r="S154" s="3"/>
      <c r="T154" s="3"/>
    </row>
    <row r="155" spans="1:20" customFormat="1" ht="30" x14ac:dyDescent="0.25">
      <c r="A155" s="41" t="s">
        <v>911</v>
      </c>
      <c r="B155" s="3">
        <v>80</v>
      </c>
      <c r="C155" s="81" t="str">
        <f t="shared" si="5"/>
        <v>7C</v>
      </c>
      <c r="D155" s="3" t="s">
        <v>132</v>
      </c>
      <c r="E155" s="3" t="s">
        <v>724</v>
      </c>
      <c r="F155" s="3">
        <v>0</v>
      </c>
      <c r="G155" s="3">
        <v>4294967296</v>
      </c>
      <c r="H155" s="3" t="s">
        <v>909</v>
      </c>
      <c r="I155" s="3" t="s">
        <v>88</v>
      </c>
      <c r="J155" s="3"/>
      <c r="K155" s="10" t="s">
        <v>912</v>
      </c>
      <c r="L155" s="3"/>
      <c r="M155" s="3"/>
      <c r="N155" s="3"/>
      <c r="O155" s="3"/>
      <c r="P155" s="3"/>
      <c r="Q155" s="3"/>
      <c r="R155" s="3"/>
      <c r="S155" s="3"/>
      <c r="T155" s="3"/>
    </row>
    <row r="156" spans="1:20" x14ac:dyDescent="0.25">
      <c r="A156" s="41" t="s">
        <v>913</v>
      </c>
      <c r="B156" s="3">
        <v>80</v>
      </c>
      <c r="C156" s="81" t="str">
        <f t="shared" si="5"/>
        <v>7D</v>
      </c>
      <c r="D156" s="3" t="s">
        <v>129</v>
      </c>
      <c r="E156" s="3"/>
      <c r="F156" s="3">
        <v>-32767</v>
      </c>
      <c r="G156" s="3">
        <v>32767</v>
      </c>
      <c r="H156" s="3" t="s">
        <v>643</v>
      </c>
      <c r="I156" s="3" t="s">
        <v>88</v>
      </c>
      <c r="J156" s="3"/>
      <c r="K156" s="3" t="s">
        <v>915</v>
      </c>
    </row>
    <row r="157" spans="1:20" x14ac:dyDescent="0.25">
      <c r="A157" s="41" t="s">
        <v>914</v>
      </c>
      <c r="B157" s="3">
        <v>80</v>
      </c>
      <c r="C157" s="81" t="str">
        <f t="shared" si="5"/>
        <v>7E</v>
      </c>
      <c r="D157" s="3" t="s">
        <v>132</v>
      </c>
      <c r="E157" s="3" t="s">
        <v>724</v>
      </c>
      <c r="F157" s="3">
        <v>0</v>
      </c>
      <c r="G157" s="3">
        <v>4294967296</v>
      </c>
      <c r="H157" s="3" t="s">
        <v>909</v>
      </c>
      <c r="I157" s="3" t="s">
        <v>88</v>
      </c>
      <c r="J157" s="3"/>
      <c r="K157" s="10" t="s">
        <v>916</v>
      </c>
    </row>
  </sheetData>
  <mergeCells count="4">
    <mergeCell ref="B3:C3"/>
    <mergeCell ref="K30:T30"/>
    <mergeCell ref="K4:T4"/>
    <mergeCell ref="A1:J1"/>
  </mergeCells>
  <phoneticPr fontId="4" type="noConversion"/>
  <pageMargins left="0.7" right="0.7" top="0.75" bottom="0.75" header="0.511811023622047" footer="0.511811023622047"/>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196D1-9EE6-4F09-A35C-2208B4458743}">
  <dimension ref="A1:T34"/>
  <sheetViews>
    <sheetView topLeftCell="A7" workbookViewId="0">
      <selection activeCell="F13" sqref="F13"/>
    </sheetView>
  </sheetViews>
  <sheetFormatPr defaultRowHeight="15" x14ac:dyDescent="0.25"/>
  <cols>
    <col min="1" max="1" width="29" bestFit="1" customWidth="1"/>
    <col min="2" max="2" width="22.42578125" customWidth="1"/>
    <col min="3" max="3" width="23.42578125" customWidth="1"/>
    <col min="4" max="4" width="31.42578125" bestFit="1" customWidth="1"/>
    <col min="5" max="5" width="14.7109375" bestFit="1" customWidth="1"/>
    <col min="6" max="6" width="15.5703125" customWidth="1"/>
    <col min="7" max="7" width="14.7109375" bestFit="1" customWidth="1"/>
    <col min="8" max="8" width="17.5703125" bestFit="1" customWidth="1"/>
    <col min="9" max="9" width="4.7109375" bestFit="1" customWidth="1"/>
    <col min="10" max="10" width="7" bestFit="1" customWidth="1"/>
    <col min="11" max="11" width="41" bestFit="1" customWidth="1"/>
    <col min="12" max="12" width="17" bestFit="1" customWidth="1"/>
    <col min="13" max="13" width="12.5703125" bestFit="1" customWidth="1"/>
    <col min="14" max="14" width="14.28515625" bestFit="1" customWidth="1"/>
    <col min="15" max="15" width="12.7109375" bestFit="1" customWidth="1"/>
  </cols>
  <sheetData>
    <row r="1" spans="1:20" s="1" customFormat="1" x14ac:dyDescent="0.25">
      <c r="A1" s="100" t="s">
        <v>780</v>
      </c>
      <c r="B1" s="100"/>
      <c r="C1" s="100"/>
      <c r="D1" s="100"/>
      <c r="E1" s="100"/>
      <c r="F1" s="100"/>
      <c r="G1" s="100"/>
      <c r="H1" s="100"/>
      <c r="I1" s="100"/>
      <c r="J1" s="100"/>
      <c r="K1" s="3"/>
    </row>
    <row r="2" spans="1:20" s="1" customFormat="1" x14ac:dyDescent="0.25">
      <c r="A2" s="3" t="s">
        <v>788</v>
      </c>
      <c r="B2" s="3" t="s">
        <v>789</v>
      </c>
      <c r="C2" s="1" t="s">
        <v>790</v>
      </c>
      <c r="D2" s="1" t="s">
        <v>791</v>
      </c>
      <c r="E2" s="3" t="s">
        <v>858</v>
      </c>
      <c r="F2" s="3" t="s">
        <v>859</v>
      </c>
      <c r="G2" s="1" t="s">
        <v>870</v>
      </c>
      <c r="K2" s="3"/>
    </row>
    <row r="3" spans="1:20" x14ac:dyDescent="0.25">
      <c r="A3" s="14" t="s">
        <v>613</v>
      </c>
      <c r="B3" s="102" t="s">
        <v>496</v>
      </c>
      <c r="C3" s="103"/>
      <c r="D3" s="2" t="s">
        <v>83</v>
      </c>
      <c r="E3" s="15" t="s">
        <v>84</v>
      </c>
      <c r="F3" s="16" t="s">
        <v>85</v>
      </c>
      <c r="G3" s="16" t="s">
        <v>86</v>
      </c>
      <c r="H3" s="17" t="s">
        <v>87</v>
      </c>
      <c r="I3" s="18" t="s">
        <v>88</v>
      </c>
      <c r="J3" s="44" t="s">
        <v>487</v>
      </c>
      <c r="K3" s="3" t="s">
        <v>135</v>
      </c>
      <c r="L3" s="1" t="s">
        <v>351</v>
      </c>
      <c r="M3" s="1" t="s">
        <v>357</v>
      </c>
      <c r="N3" s="1" t="s">
        <v>352</v>
      </c>
      <c r="O3" s="1" t="s">
        <v>355</v>
      </c>
    </row>
    <row r="4" spans="1:20" x14ac:dyDescent="0.25">
      <c r="A4" s="43" t="s">
        <v>89</v>
      </c>
      <c r="B4" s="62"/>
      <c r="C4" s="62"/>
      <c r="D4" s="62"/>
      <c r="E4" s="62"/>
      <c r="F4" s="62"/>
      <c r="G4" s="62"/>
      <c r="H4" s="62"/>
      <c r="I4" s="62"/>
      <c r="J4" s="63"/>
      <c r="K4" s="104"/>
      <c r="L4" s="105"/>
      <c r="M4" s="105"/>
      <c r="N4" s="105"/>
      <c r="O4" s="105"/>
      <c r="P4" s="105"/>
      <c r="Q4" s="105"/>
      <c r="R4" s="105"/>
      <c r="S4" s="105"/>
      <c r="T4" s="106"/>
    </row>
    <row r="5" spans="1:20" s="1" customFormat="1" x14ac:dyDescent="0.25">
      <c r="A5" s="41"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row>
    <row r="6" spans="1:20" s="1" customFormat="1" x14ac:dyDescent="0.25">
      <c r="A6" s="41"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104"/>
      <c r="L6" s="105"/>
      <c r="M6" s="105"/>
      <c r="N6" s="105"/>
      <c r="O6" s="105"/>
      <c r="P6" s="105"/>
      <c r="Q6" s="105"/>
      <c r="R6" s="105"/>
      <c r="S6" s="105"/>
      <c r="T6" s="106"/>
    </row>
    <row r="7" spans="1:20" x14ac:dyDescent="0.25">
      <c r="A7" s="61"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row>
    <row r="8" spans="1:20" x14ac:dyDescent="0.25">
      <c r="A8" s="61"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row>
    <row r="9" spans="1:20" x14ac:dyDescent="0.25">
      <c r="A9" s="61"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94</v>
      </c>
      <c r="J9" s="3"/>
    </row>
    <row r="10" spans="1:20" x14ac:dyDescent="0.25">
      <c r="A10" s="61"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row>
    <row r="11" spans="1:20" x14ac:dyDescent="0.25">
      <c r="A11" s="61"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t="s">
        <v>508</v>
      </c>
    </row>
    <row r="12" spans="1:20" x14ac:dyDescent="0.25">
      <c r="A12" s="61"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1"/>
    </row>
    <row r="13" spans="1:20" x14ac:dyDescent="0.25">
      <c r="A13" s="61"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1"/>
    </row>
    <row r="14" spans="1:20" x14ac:dyDescent="0.25">
      <c r="A14" s="61"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1"/>
    </row>
    <row r="15" spans="1:20" x14ac:dyDescent="0.25">
      <c r="A15" s="61"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1"/>
    </row>
    <row r="16" spans="1:20" x14ac:dyDescent="0.25">
      <c r="A16" s="61"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1"/>
    </row>
    <row r="17" spans="1:20" x14ac:dyDescent="0.25">
      <c r="A17" s="61"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1"/>
    </row>
    <row r="18" spans="1:20" x14ac:dyDescent="0.25">
      <c r="A18" s="61"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1"/>
    </row>
    <row r="19" spans="1:20" x14ac:dyDescent="0.25">
      <c r="A19" s="61"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1"/>
    </row>
    <row r="20" spans="1:20" x14ac:dyDescent="0.25">
      <c r="A20" s="61"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t="str">
        <f>IF('DATI LOGICI'!F18&lt;&gt;"",'DATI LOGICI'!F18,"")</f>
        <v/>
      </c>
      <c r="G20" s="3" t="str">
        <f>IF('DATI LOGICI'!G18&lt;&gt;"",'DATI LOGICI'!G18,"")</f>
        <v/>
      </c>
      <c r="H20" s="3" t="str">
        <f>IF('DATI LOGICI'!H18&lt;&gt;"",'DATI LOGICI'!H18,"")</f>
        <v/>
      </c>
      <c r="I20" s="3" t="str">
        <f>IF('DATI LOGICI'!I18&lt;&gt;"",'DATI LOGICI'!I18,"")</f>
        <v>R</v>
      </c>
      <c r="J20" s="1"/>
    </row>
    <row r="21" spans="1:20" x14ac:dyDescent="0.25">
      <c r="A21" s="61"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1"/>
    </row>
    <row r="22" spans="1:20" x14ac:dyDescent="0.25">
      <c r="A22" s="61"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1"/>
    </row>
    <row r="23" spans="1:20" x14ac:dyDescent="0.25">
      <c r="A23" s="61"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1"/>
    </row>
    <row r="24" spans="1:20" x14ac:dyDescent="0.25">
      <c r="A24" s="61"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1"/>
    </row>
    <row r="25" spans="1:20" x14ac:dyDescent="0.25">
      <c r="A25" s="61"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1"/>
    </row>
    <row r="26" spans="1:20" x14ac:dyDescent="0.25">
      <c r="A26" s="61"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1"/>
    </row>
    <row r="27" spans="1:20" x14ac:dyDescent="0.25">
      <c r="A27" s="61"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J27" s="1"/>
    </row>
    <row r="29" spans="1:20" s="1" customFormat="1" x14ac:dyDescent="0.25">
      <c r="A29" s="43" t="s">
        <v>614</v>
      </c>
      <c r="B29" s="60"/>
      <c r="C29" s="60"/>
      <c r="D29" s="60"/>
      <c r="E29" s="60"/>
      <c r="F29" s="60"/>
      <c r="G29" s="60"/>
      <c r="H29" s="60"/>
      <c r="I29" s="60"/>
      <c r="J29" s="60"/>
      <c r="K29" s="104"/>
      <c r="L29" s="105"/>
      <c r="M29" s="105"/>
      <c r="N29" s="105"/>
      <c r="O29" s="105"/>
      <c r="P29" s="105"/>
      <c r="Q29" s="105"/>
      <c r="R29" s="105"/>
      <c r="S29" s="105"/>
      <c r="T29" s="106"/>
    </row>
    <row r="30" spans="1:20" s="1" customFormat="1" x14ac:dyDescent="0.25">
      <c r="A30" s="19" t="s">
        <v>615</v>
      </c>
      <c r="B30" s="3">
        <v>80</v>
      </c>
      <c r="C30" s="81" t="str">
        <f>DEC2HEX(0)</f>
        <v>0</v>
      </c>
      <c r="D30" s="3" t="s">
        <v>138</v>
      </c>
      <c r="E30" s="3"/>
      <c r="F30" s="3"/>
      <c r="G30" s="3"/>
      <c r="H30" s="3"/>
      <c r="I30" s="3" t="s">
        <v>94</v>
      </c>
      <c r="J30" s="3"/>
      <c r="K30" s="10" t="s">
        <v>622</v>
      </c>
    </row>
    <row r="31" spans="1:20" s="1" customFormat="1" x14ac:dyDescent="0.25">
      <c r="A31" s="19" t="s">
        <v>616</v>
      </c>
      <c r="B31" s="3">
        <v>80</v>
      </c>
      <c r="C31" s="81" t="str">
        <f>DEC2HEX(HEX2DEC(C30)+1)</f>
        <v>1</v>
      </c>
      <c r="D31" s="3" t="s">
        <v>141</v>
      </c>
      <c r="E31" s="3"/>
      <c r="F31" s="3">
        <v>0</v>
      </c>
      <c r="G31" s="3">
        <v>1</v>
      </c>
      <c r="H31" s="3"/>
      <c r="I31" s="3" t="s">
        <v>94</v>
      </c>
      <c r="J31" s="3"/>
      <c r="K31" s="3" t="s">
        <v>225</v>
      </c>
    </row>
    <row r="32" spans="1:20" ht="165" x14ac:dyDescent="0.25">
      <c r="A32" s="19" t="s">
        <v>617</v>
      </c>
      <c r="B32" s="3">
        <v>80</v>
      </c>
      <c r="C32" s="3">
        <v>2</v>
      </c>
      <c r="D32" s="3" t="s">
        <v>132</v>
      </c>
      <c r="E32" s="20">
        <v>255255255255</v>
      </c>
      <c r="F32" s="3">
        <v>0</v>
      </c>
      <c r="G32" s="20">
        <v>255255255255</v>
      </c>
      <c r="I32" s="3" t="s">
        <v>101</v>
      </c>
      <c r="K32" s="10" t="s">
        <v>621</v>
      </c>
    </row>
    <row r="33" spans="1:11" ht="165" x14ac:dyDescent="0.25">
      <c r="A33" s="19" t="s">
        <v>618</v>
      </c>
      <c r="B33" s="3">
        <v>80</v>
      </c>
      <c r="C33" s="3">
        <v>3</v>
      </c>
      <c r="D33" s="3" t="s">
        <v>132</v>
      </c>
      <c r="E33" s="20">
        <v>255255255255</v>
      </c>
      <c r="F33" s="3">
        <v>0</v>
      </c>
      <c r="G33" s="20">
        <v>255255255255</v>
      </c>
      <c r="I33" s="3" t="s">
        <v>101</v>
      </c>
      <c r="K33" s="10" t="s">
        <v>621</v>
      </c>
    </row>
    <row r="34" spans="1:11" ht="165" x14ac:dyDescent="0.25">
      <c r="A34" s="19" t="s">
        <v>619</v>
      </c>
      <c r="B34" s="3">
        <v>80</v>
      </c>
      <c r="C34" s="3">
        <v>4</v>
      </c>
      <c r="D34" s="3" t="s">
        <v>132</v>
      </c>
      <c r="E34" s="20">
        <v>255255255255</v>
      </c>
      <c r="F34" s="3">
        <v>0</v>
      </c>
      <c r="G34" s="20">
        <v>255255255255</v>
      </c>
      <c r="I34" s="3" t="s">
        <v>101</v>
      </c>
      <c r="K34" s="10" t="s">
        <v>620</v>
      </c>
    </row>
  </sheetData>
  <mergeCells count="5">
    <mergeCell ref="B3:C3"/>
    <mergeCell ref="K4:T4"/>
    <mergeCell ref="K6:T6"/>
    <mergeCell ref="K29:T29"/>
    <mergeCell ref="A1:J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0C0CD-5519-46B2-A9F3-B4381168B0E7}">
  <dimension ref="A1:W71"/>
  <sheetViews>
    <sheetView workbookViewId="0">
      <pane xSplit="3" ySplit="3" topLeftCell="D56" activePane="bottomRight" state="frozen"/>
      <selection pane="topRight" activeCell="D1" sqref="D1"/>
      <selection pane="bottomLeft" activeCell="A3" sqref="A3"/>
      <selection pane="bottomRight" activeCell="C75" sqref="C75"/>
    </sheetView>
  </sheetViews>
  <sheetFormatPr defaultColWidth="8.5703125" defaultRowHeight="15" x14ac:dyDescent="0.25"/>
  <cols>
    <col min="1" max="1" width="50.7109375" style="3" customWidth="1"/>
    <col min="2" max="2" width="12.7109375" style="1" customWidth="1"/>
    <col min="3" max="3" width="55.42578125" style="1" customWidth="1"/>
    <col min="4" max="4" width="10.7109375" style="1" customWidth="1"/>
    <col min="5" max="7" width="14.7109375" style="1" customWidth="1"/>
    <col min="8" max="8" width="17.5703125" style="1" customWidth="1"/>
    <col min="9" max="9" width="4.7109375" style="1" customWidth="1"/>
    <col min="10" max="10" width="10.7109375" style="1" customWidth="1"/>
    <col min="11" max="11" width="110.7109375" style="1" customWidth="1"/>
    <col min="12" max="15" width="22.42578125" style="1" customWidth="1"/>
    <col min="16" max="16384" width="8.5703125" style="1"/>
  </cols>
  <sheetData>
    <row r="1" spans="1:20" x14ac:dyDescent="0.25">
      <c r="A1" s="100" t="s">
        <v>780</v>
      </c>
      <c r="B1" s="100"/>
      <c r="C1" s="100"/>
      <c r="D1" s="100"/>
      <c r="E1" s="100"/>
      <c r="F1" s="100"/>
      <c r="G1" s="100"/>
      <c r="H1" s="100"/>
      <c r="I1" s="100"/>
      <c r="J1" s="100"/>
      <c r="K1" s="3"/>
    </row>
    <row r="2" spans="1:20" x14ac:dyDescent="0.25">
      <c r="A2" s="3" t="s">
        <v>896</v>
      </c>
      <c r="K2" s="3"/>
    </row>
    <row r="3" spans="1:20" x14ac:dyDescent="0.25">
      <c r="A3" s="65" t="s">
        <v>522</v>
      </c>
      <c r="B3" s="109" t="s">
        <v>496</v>
      </c>
      <c r="C3" s="109"/>
      <c r="D3" s="66" t="s">
        <v>83</v>
      </c>
      <c r="E3" s="67" t="s">
        <v>84</v>
      </c>
      <c r="F3" s="68" t="s">
        <v>85</v>
      </c>
      <c r="G3" s="68" t="s">
        <v>86</v>
      </c>
      <c r="H3" s="69" t="s">
        <v>87</v>
      </c>
      <c r="I3" s="70" t="s">
        <v>88</v>
      </c>
      <c r="J3" s="70" t="s">
        <v>487</v>
      </c>
      <c r="K3" s="71" t="s">
        <v>135</v>
      </c>
      <c r="L3" s="72" t="s">
        <v>351</v>
      </c>
      <c r="M3" s="72" t="s">
        <v>357</v>
      </c>
      <c r="N3" s="72" t="s">
        <v>352</v>
      </c>
      <c r="O3" s="73" t="s">
        <v>355</v>
      </c>
    </row>
    <row r="4" spans="1:20" customFormat="1" x14ac:dyDescent="0.25">
      <c r="A4" s="43" t="s">
        <v>89</v>
      </c>
      <c r="B4" s="62"/>
      <c r="C4" s="62"/>
      <c r="D4" s="62"/>
      <c r="E4" s="62"/>
      <c r="F4" s="62"/>
      <c r="G4" s="62"/>
      <c r="H4" s="62"/>
      <c r="I4" s="62"/>
      <c r="J4" s="63"/>
      <c r="K4" s="104"/>
      <c r="L4" s="105"/>
      <c r="M4" s="105"/>
      <c r="N4" s="105"/>
      <c r="O4" s="105"/>
      <c r="P4" s="105"/>
      <c r="Q4" s="105"/>
      <c r="R4" s="105"/>
      <c r="S4" s="105"/>
      <c r="T4" s="106"/>
    </row>
    <row r="5" spans="1:20" x14ac:dyDescent="0.25">
      <c r="A5" s="41"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row>
    <row r="6" spans="1:20" x14ac:dyDescent="0.25">
      <c r="A6" s="41"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row>
    <row r="7" spans="1:20" x14ac:dyDescent="0.25">
      <c r="A7" s="41"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row>
    <row r="8" spans="1:20" x14ac:dyDescent="0.25">
      <c r="A8" s="41"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row>
    <row r="9" spans="1:20" x14ac:dyDescent="0.25">
      <c r="A9" s="41"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tr">
        <f>IF('DATI LOGICI'!I7&lt;&gt;"",'DATI LOGICI'!I7,"")</f>
        <v>N</v>
      </c>
    </row>
    <row r="10" spans="1:20" x14ac:dyDescent="0.25">
      <c r="A10" s="41"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K10" s="1" t="s">
        <v>466</v>
      </c>
    </row>
    <row r="11" spans="1:20" ht="285" x14ac:dyDescent="0.25">
      <c r="A11" s="41"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8" t="s">
        <v>494</v>
      </c>
      <c r="K11" s="42" t="s">
        <v>608</v>
      </c>
    </row>
    <row r="12" spans="1:20" x14ac:dyDescent="0.25">
      <c r="A12" s="41"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row>
    <row r="13" spans="1:20" x14ac:dyDescent="0.25">
      <c r="A13" s="3"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row>
    <row r="14" spans="1:20" x14ac:dyDescent="0.25">
      <c r="A14" s="3"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row>
    <row r="15" spans="1:20" x14ac:dyDescent="0.25">
      <c r="A15" s="3"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row>
    <row r="16" spans="1:20" x14ac:dyDescent="0.25">
      <c r="A16" s="41"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1" t="s">
        <v>489</v>
      </c>
      <c r="K16" s="1" t="s">
        <v>488</v>
      </c>
    </row>
    <row r="17" spans="1:11" x14ac:dyDescent="0.25">
      <c r="A17" s="41"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1" t="s">
        <v>489</v>
      </c>
      <c r="K17" s="1" t="s">
        <v>467</v>
      </c>
    </row>
    <row r="18" spans="1:11" x14ac:dyDescent="0.25">
      <c r="A18" s="41"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1" t="s">
        <v>489</v>
      </c>
      <c r="K18" s="1" t="s">
        <v>468</v>
      </c>
    </row>
    <row r="19" spans="1:11" x14ac:dyDescent="0.25">
      <c r="A19" s="41"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1" t="s">
        <v>489</v>
      </c>
      <c r="K19" s="1" t="s">
        <v>469</v>
      </c>
    </row>
    <row r="20" spans="1:11" x14ac:dyDescent="0.25">
      <c r="A20" s="41"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t="str">
        <f>IF('DATI LOGICI'!F18&lt;&gt;"",'DATI LOGICI'!F18,"")</f>
        <v/>
      </c>
      <c r="G20" s="3" t="str">
        <f>IF('DATI LOGICI'!G18&lt;&gt;"",'DATI LOGICI'!G18,"")</f>
        <v/>
      </c>
      <c r="H20" s="3" t="str">
        <f>IF('DATI LOGICI'!H18&lt;&gt;"",'DATI LOGICI'!H18,"")</f>
        <v/>
      </c>
      <c r="I20" s="3" t="str">
        <f>IF('DATI LOGICI'!I18&lt;&gt;"",'DATI LOGICI'!I18,"")</f>
        <v>R</v>
      </c>
    </row>
    <row r="21" spans="1:11" x14ac:dyDescent="0.25">
      <c r="A21" s="3"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row>
    <row r="22" spans="1:11" x14ac:dyDescent="0.25">
      <c r="A22" s="3"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row>
    <row r="23" spans="1:11" x14ac:dyDescent="0.25">
      <c r="A23" s="3"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row>
    <row r="24" spans="1:11" x14ac:dyDescent="0.25">
      <c r="A24" s="3"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row>
    <row r="25" spans="1:11" x14ac:dyDescent="0.25">
      <c r="A25" s="3"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row>
    <row r="26" spans="1:11" x14ac:dyDescent="0.25">
      <c r="A26" s="41"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row>
    <row r="27" spans="1:11" x14ac:dyDescent="0.25">
      <c r="A27" s="41"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row>
    <row r="28" spans="1:11" x14ac:dyDescent="0.25">
      <c r="A28" s="41" t="str">
        <f>IF('DATI LOGICI'!A26&lt;&gt;"",'DATI LOGICI'!A26,"")</f>
        <v>Firmware Bootloader</v>
      </c>
      <c r="B28" s="3">
        <f>IF('DATI LOGICI'!B26&lt;&gt;"",'DATI LOGICI'!B26,"")</f>
        <v>0</v>
      </c>
      <c r="C28" s="3">
        <f>IF('DATI LOGICI'!C26&lt;&gt;"",'DATI LOGICI'!C26,"")</f>
        <v>17</v>
      </c>
      <c r="D28" s="3" t="str">
        <f>IF('DATI LOGICI'!D26&lt;&gt;"",'DATI LOGICI'!D26,"")</f>
        <v xml:space="preserve">uint16_t </v>
      </c>
      <c r="E28" s="3" t="str">
        <f>IF('DATI LOGICI'!E26&lt;&gt;"",'DATI LOGICI'!E26,"")</f>
        <v>255.255</v>
      </c>
      <c r="F28" s="3">
        <f>IF('DATI LOGICI'!F26&lt;&gt;"",'DATI LOGICI'!F26,"")</f>
        <v>0</v>
      </c>
      <c r="G28" s="3" t="str">
        <f>IF('DATI LOGICI'!G26&lt;&gt;"",'DATI LOGICI'!G26,"")</f>
        <v>255.255</v>
      </c>
      <c r="H28" s="3" t="str">
        <f>IF('DATI LOGICI'!H26&lt;&gt;"",'DATI LOGICI'!H26,"")</f>
        <v/>
      </c>
      <c r="I28" s="3" t="str">
        <f>IF('DATI LOGICI'!I26&lt;&gt;"",'DATI LOGICI'!I26,"")</f>
        <v>R</v>
      </c>
    </row>
    <row r="29" spans="1:11" x14ac:dyDescent="0.25">
      <c r="A29" s="3" t="str">
        <f>IF('DATI LOGICI'!A27&lt;&gt;"",'DATI LOGICI'!A27,"")</f>
        <v/>
      </c>
      <c r="B29" s="3" t="str">
        <f>IF('DATI LOGICI'!B27&lt;&gt;"",'DATI LOGICI'!B27,"")</f>
        <v/>
      </c>
      <c r="C29" s="3" t="str">
        <f>IF('DATI LOGICI'!C27&lt;&gt;"",'DATI LOGICI'!C27,"")</f>
        <v/>
      </c>
      <c r="D29" s="3" t="str">
        <f>IF('DATI LOGICI'!D27&lt;&gt;"",'DATI LOGICI'!D27,"")</f>
        <v/>
      </c>
      <c r="E29" s="3" t="str">
        <f>IF('DATI LOGICI'!E27&lt;&gt;"",'DATI LOGICI'!E27,"")</f>
        <v/>
      </c>
      <c r="F29" s="3" t="str">
        <f>IF('DATI LOGICI'!F27&lt;&gt;"",'DATI LOGICI'!F27,"")</f>
        <v/>
      </c>
      <c r="G29" s="3" t="str">
        <f>IF('DATI LOGICI'!G27&lt;&gt;"",'DATI LOGICI'!G27,"")</f>
        <v/>
      </c>
      <c r="H29" s="3" t="str">
        <f>IF('DATI LOGICI'!H27&lt;&gt;"",'DATI LOGICI'!H27,"")</f>
        <v/>
      </c>
      <c r="I29" s="3" t="str">
        <f>IF('DATI LOGICI'!I27&lt;&gt;"",'DATI LOGICI'!I27,"")</f>
        <v/>
      </c>
    </row>
    <row r="30" spans="1:11" x14ac:dyDescent="0.25">
      <c r="A30" s="3" t="str">
        <f>IF('DATI LOGICI'!A28&lt;&gt;"",'DATI LOGICI'!A28,"")</f>
        <v/>
      </c>
      <c r="B30" s="3" t="str">
        <f>IF('DATI LOGICI'!B28&lt;&gt;"",'DATI LOGICI'!B28,"")</f>
        <v/>
      </c>
      <c r="C30" s="3" t="str">
        <f>IF('DATI LOGICI'!C28&lt;&gt;"",'DATI LOGICI'!C28,"")</f>
        <v/>
      </c>
      <c r="D30" s="3" t="str">
        <f>IF('DATI LOGICI'!D28&lt;&gt;"",'DATI LOGICI'!D28,"")</f>
        <v/>
      </c>
      <c r="E30" s="3" t="str">
        <f>IF('DATI LOGICI'!E28&lt;&gt;"",'DATI LOGICI'!E28,"")</f>
        <v/>
      </c>
      <c r="F30" s="3" t="str">
        <f>IF('DATI LOGICI'!F28&lt;&gt;"",'DATI LOGICI'!F28,"")</f>
        <v/>
      </c>
      <c r="G30" s="3" t="str">
        <f>IF('DATI LOGICI'!G28&lt;&gt;"",'DATI LOGICI'!G28,"")</f>
        <v/>
      </c>
      <c r="H30" s="3" t="str">
        <f>IF('DATI LOGICI'!H28&lt;&gt;"",'DATI LOGICI'!H28,"")</f>
        <v/>
      </c>
      <c r="I30" s="3" t="str">
        <f>IF('DATI LOGICI'!I28&lt;&gt;"",'DATI LOGICI'!I28,"")</f>
        <v/>
      </c>
    </row>
    <row r="31" spans="1:11" x14ac:dyDescent="0.25">
      <c r="A31" s="3" t="str">
        <f>IF('DATI LOGICI'!A29&lt;&gt;"",'DATI LOGICI'!A29,"")</f>
        <v/>
      </c>
      <c r="B31" s="3" t="str">
        <f>IF('DATI LOGICI'!B29&lt;&gt;"",'DATI LOGICI'!B29,"")</f>
        <v/>
      </c>
      <c r="C31" s="3" t="str">
        <f>IF('DATI LOGICI'!C29&lt;&gt;"",'DATI LOGICI'!C29,"")</f>
        <v/>
      </c>
      <c r="D31" s="3" t="str">
        <f>IF('DATI LOGICI'!D29&lt;&gt;"",'DATI LOGICI'!D29,"")</f>
        <v/>
      </c>
      <c r="E31" s="3" t="str">
        <f>IF('DATI LOGICI'!E29&lt;&gt;"",'DATI LOGICI'!E29,"")</f>
        <v/>
      </c>
      <c r="F31" s="3" t="str">
        <f>IF('DATI LOGICI'!F29&lt;&gt;"",'DATI LOGICI'!F29,"")</f>
        <v/>
      </c>
      <c r="G31" s="3" t="str">
        <f>IF('DATI LOGICI'!G29&lt;&gt;"",'DATI LOGICI'!G29,"")</f>
        <v/>
      </c>
      <c r="H31" s="3" t="str">
        <f>IF('DATI LOGICI'!H29&lt;&gt;"",'DATI LOGICI'!H29,"")</f>
        <v/>
      </c>
      <c r="I31" s="3" t="str">
        <f>IF('DATI LOGICI'!I29&lt;&gt;"",'DATI LOGICI'!I29,"")</f>
        <v/>
      </c>
    </row>
    <row r="32" spans="1:11" x14ac:dyDescent="0.25">
      <c r="A32" s="3" t="str">
        <f>IF('DATI LOGICI'!A30&lt;&gt;"",'DATI LOGICI'!A30,"")</f>
        <v/>
      </c>
      <c r="B32" s="3" t="str">
        <f>IF('DATI LOGICI'!B30&lt;&gt;"",'DATI LOGICI'!B30,"")</f>
        <v/>
      </c>
      <c r="C32" s="3" t="str">
        <f>IF('DATI LOGICI'!C30&lt;&gt;"",'DATI LOGICI'!C30,"")</f>
        <v/>
      </c>
      <c r="D32" s="3" t="str">
        <f>IF('DATI LOGICI'!D30&lt;&gt;"",'DATI LOGICI'!D30,"")</f>
        <v/>
      </c>
      <c r="E32" s="3" t="str">
        <f>IF('DATI LOGICI'!E30&lt;&gt;"",'DATI LOGICI'!E30,"")</f>
        <v/>
      </c>
      <c r="F32" s="3" t="str">
        <f>IF('DATI LOGICI'!F30&lt;&gt;"",'DATI LOGICI'!F30,"")</f>
        <v/>
      </c>
      <c r="G32" s="3" t="str">
        <f>IF('DATI LOGICI'!G30&lt;&gt;"",'DATI LOGICI'!G30,"")</f>
        <v/>
      </c>
      <c r="H32" s="3" t="str">
        <f>IF('DATI LOGICI'!H30&lt;&gt;"",'DATI LOGICI'!H30,"")</f>
        <v/>
      </c>
      <c r="I32" s="3" t="str">
        <f>IF('DATI LOGICI'!I30&lt;&gt;"",'DATI LOGICI'!I30,"")</f>
        <v/>
      </c>
    </row>
    <row r="33" spans="1:23" x14ac:dyDescent="0.25">
      <c r="A33" s="3" t="str">
        <f>IF('DATI LOGICI'!A31&lt;&gt;"",'DATI LOGICI'!A31,"")</f>
        <v/>
      </c>
      <c r="B33" s="3" t="str">
        <f>IF('DATI LOGICI'!B31&lt;&gt;"",'DATI LOGICI'!B31,"")</f>
        <v/>
      </c>
      <c r="C33" s="3" t="str">
        <f>IF('DATI LOGICI'!C31&lt;&gt;"",'DATI LOGICI'!C31,"")</f>
        <v/>
      </c>
      <c r="D33" s="3" t="str">
        <f>IF('DATI LOGICI'!D31&lt;&gt;"",'DATI LOGICI'!D31,"")</f>
        <v/>
      </c>
      <c r="E33" s="3" t="str">
        <f>IF('DATI LOGICI'!E31&lt;&gt;"",'DATI LOGICI'!E31,"")</f>
        <v/>
      </c>
      <c r="F33" s="3" t="str">
        <f>IF('DATI LOGICI'!F31&lt;&gt;"",'DATI LOGICI'!F31,"")</f>
        <v/>
      </c>
      <c r="G33" s="3" t="str">
        <f>IF('DATI LOGICI'!G31&lt;&gt;"",'DATI LOGICI'!G31,"")</f>
        <v/>
      </c>
      <c r="H33" s="3" t="str">
        <f>IF('DATI LOGICI'!H31&lt;&gt;"",'DATI LOGICI'!H31,"")</f>
        <v/>
      </c>
      <c r="I33" s="3" t="str">
        <f>IF('DATI LOGICI'!I31&lt;&gt;"",'DATI LOGICI'!I31,"")</f>
        <v/>
      </c>
    </row>
    <row r="34" spans="1:23" x14ac:dyDescent="0.25">
      <c r="A34" s="3" t="str">
        <f>IF('DATI LOGICI'!A32&lt;&gt;"",'DATI LOGICI'!A32,"")</f>
        <v/>
      </c>
      <c r="B34" s="3" t="str">
        <f>IF('DATI LOGICI'!B32&lt;&gt;"",'DATI LOGICI'!B32,"")</f>
        <v/>
      </c>
      <c r="C34" s="3" t="str">
        <f>IF('DATI LOGICI'!C32&lt;&gt;"",'DATI LOGICI'!C32,"")</f>
        <v/>
      </c>
      <c r="D34" s="3" t="str">
        <f>IF('DATI LOGICI'!D32&lt;&gt;"",'DATI LOGICI'!D32,"")</f>
        <v/>
      </c>
      <c r="E34" s="3" t="str">
        <f>IF('DATI LOGICI'!E32&lt;&gt;"",'DATI LOGICI'!E32,"")</f>
        <v/>
      </c>
      <c r="F34" s="3" t="str">
        <f>IF('DATI LOGICI'!F32&lt;&gt;"",'DATI LOGICI'!F32,"")</f>
        <v/>
      </c>
      <c r="G34" s="3" t="str">
        <f>IF('DATI LOGICI'!G32&lt;&gt;"",'DATI LOGICI'!G32,"")</f>
        <v/>
      </c>
      <c r="H34" s="3" t="str">
        <f>IF('DATI LOGICI'!H32&lt;&gt;"",'DATI LOGICI'!H32,"")</f>
        <v/>
      </c>
      <c r="I34" s="3" t="str">
        <f>IF('DATI LOGICI'!I32&lt;&gt;"",'DATI LOGICI'!I32,"")</f>
        <v/>
      </c>
    </row>
    <row r="35" spans="1:23" x14ac:dyDescent="0.25">
      <c r="A35" s="3" t="str">
        <f>IF('DATI LOGICI'!A33&lt;&gt;"",'DATI LOGICI'!A33,"")</f>
        <v/>
      </c>
      <c r="B35" s="3" t="str">
        <f>IF('DATI LOGICI'!B33&lt;&gt;"",'DATI LOGICI'!B33,"")</f>
        <v/>
      </c>
      <c r="C35" s="3" t="str">
        <f>IF('DATI LOGICI'!C33&lt;&gt;"",'DATI LOGICI'!C33,"")</f>
        <v/>
      </c>
      <c r="D35" s="3" t="str">
        <f>IF('DATI LOGICI'!D33&lt;&gt;"",'DATI LOGICI'!D33,"")</f>
        <v/>
      </c>
      <c r="E35" s="3" t="str">
        <f>IF('DATI LOGICI'!E33&lt;&gt;"",'DATI LOGICI'!E33,"")</f>
        <v/>
      </c>
      <c r="F35" s="3" t="str">
        <f>IF('DATI LOGICI'!F33&lt;&gt;"",'DATI LOGICI'!F33,"")</f>
        <v/>
      </c>
      <c r="G35" s="3" t="str">
        <f>IF('DATI LOGICI'!G33&lt;&gt;"",'DATI LOGICI'!G33,"")</f>
        <v/>
      </c>
      <c r="H35" s="3" t="str">
        <f>IF('DATI LOGICI'!H33&lt;&gt;"",'DATI LOGICI'!H33,"")</f>
        <v/>
      </c>
      <c r="I35" s="3" t="str">
        <f>IF('DATI LOGICI'!I33&lt;&gt;"",'DATI LOGICI'!I33,"")</f>
        <v/>
      </c>
    </row>
    <row r="36" spans="1:23" x14ac:dyDescent="0.25">
      <c r="A36" s="3" t="str">
        <f>IF('DATI LOGICI'!A34&lt;&gt;"",'DATI LOGICI'!A34,"")</f>
        <v/>
      </c>
      <c r="B36" s="3" t="str">
        <f>IF('DATI LOGICI'!B34&lt;&gt;"",'DATI LOGICI'!B34,"")</f>
        <v/>
      </c>
      <c r="C36" s="3" t="str">
        <f>IF('DATI LOGICI'!C34&lt;&gt;"",'DATI LOGICI'!C34,"")</f>
        <v/>
      </c>
      <c r="D36" s="3" t="str">
        <f>IF('DATI LOGICI'!D34&lt;&gt;"",'DATI LOGICI'!D34,"")</f>
        <v/>
      </c>
      <c r="E36" s="3" t="str">
        <f>IF('DATI LOGICI'!E34&lt;&gt;"",'DATI LOGICI'!E34,"")</f>
        <v/>
      </c>
      <c r="F36" s="3" t="str">
        <f>IF('DATI LOGICI'!F34&lt;&gt;"",'DATI LOGICI'!F34,"")</f>
        <v/>
      </c>
      <c r="G36" s="3" t="str">
        <f>IF('DATI LOGICI'!G34&lt;&gt;"",'DATI LOGICI'!G34,"")</f>
        <v/>
      </c>
      <c r="H36" s="3" t="str">
        <f>IF('DATI LOGICI'!H34&lt;&gt;"",'DATI LOGICI'!H34,"")</f>
        <v/>
      </c>
      <c r="I36" s="3" t="str">
        <f>IF('DATI LOGICI'!I34&lt;&gt;"",'DATI LOGICI'!I34,"")</f>
        <v/>
      </c>
    </row>
    <row r="37" spans="1:23" x14ac:dyDescent="0.25">
      <c r="A37" s="3" t="str">
        <f>IF('DATI LOGICI'!A35&lt;&gt;"",'DATI LOGICI'!A35,"")</f>
        <v/>
      </c>
      <c r="B37" s="3" t="str">
        <f>IF('DATI LOGICI'!B35&lt;&gt;"",'DATI LOGICI'!B35,"")</f>
        <v/>
      </c>
      <c r="C37" s="3" t="str">
        <f>IF('DATI LOGICI'!C35&lt;&gt;"",'DATI LOGICI'!C35,"")</f>
        <v/>
      </c>
      <c r="D37" s="3" t="str">
        <f>IF('DATI LOGICI'!D35&lt;&gt;"",'DATI LOGICI'!D35,"")</f>
        <v/>
      </c>
      <c r="E37" s="3" t="str">
        <f>IF('DATI LOGICI'!E35&lt;&gt;"",'DATI LOGICI'!E35,"")</f>
        <v/>
      </c>
      <c r="F37" s="3" t="str">
        <f>IF('DATI LOGICI'!F35&lt;&gt;"",'DATI LOGICI'!F35,"")</f>
        <v/>
      </c>
      <c r="G37" s="3" t="str">
        <f>IF('DATI LOGICI'!G35&lt;&gt;"",'DATI LOGICI'!G35,"")</f>
        <v/>
      </c>
      <c r="H37" s="3" t="str">
        <f>IF('DATI LOGICI'!H35&lt;&gt;"",'DATI LOGICI'!H35,"")</f>
        <v/>
      </c>
      <c r="I37" s="3" t="str">
        <f>IF('DATI LOGICI'!I35&lt;&gt;"",'DATI LOGICI'!I35,"")</f>
        <v/>
      </c>
    </row>
    <row r="38" spans="1:23" x14ac:dyDescent="0.25">
      <c r="A38" s="3" t="str">
        <f>IF('DATI LOGICI'!A36&lt;&gt;"",'DATI LOGICI'!A36,"")</f>
        <v/>
      </c>
      <c r="B38" s="3" t="str">
        <f>IF('DATI LOGICI'!B36&lt;&gt;"",'DATI LOGICI'!B36,"")</f>
        <v/>
      </c>
      <c r="C38" s="3" t="str">
        <f>IF('DATI LOGICI'!C36&lt;&gt;"",'DATI LOGICI'!C36,"")</f>
        <v/>
      </c>
      <c r="D38" s="3" t="str">
        <f>IF('DATI LOGICI'!D36&lt;&gt;"",'DATI LOGICI'!D36,"")</f>
        <v/>
      </c>
      <c r="E38" s="3" t="str">
        <f>IF('DATI LOGICI'!E36&lt;&gt;"",'DATI LOGICI'!E36,"")</f>
        <v/>
      </c>
      <c r="F38" s="3" t="str">
        <f>IF('DATI LOGICI'!F36&lt;&gt;"",'DATI LOGICI'!F36,"")</f>
        <v/>
      </c>
      <c r="G38" s="3" t="str">
        <f>IF('DATI LOGICI'!G36&lt;&gt;"",'DATI LOGICI'!G36,"")</f>
        <v/>
      </c>
      <c r="H38" s="3" t="str">
        <f>IF('DATI LOGICI'!H36&lt;&gt;"",'DATI LOGICI'!H36,"")</f>
        <v/>
      </c>
      <c r="I38" s="3" t="str">
        <f>IF('DATI LOGICI'!I36&lt;&gt;"",'DATI LOGICI'!I36,"")</f>
        <v/>
      </c>
    </row>
    <row r="39" spans="1:23" x14ac:dyDescent="0.25">
      <c r="A39" s="3" t="str">
        <f>IF('DATI LOGICI'!A37&lt;&gt;"",'DATI LOGICI'!A37,"")</f>
        <v/>
      </c>
      <c r="B39" s="3" t="str">
        <f>IF('DATI LOGICI'!B37&lt;&gt;"",'DATI LOGICI'!B37,"")</f>
        <v/>
      </c>
      <c r="C39" s="3" t="str">
        <f>IF('DATI LOGICI'!C37&lt;&gt;"",'DATI LOGICI'!C37,"")</f>
        <v/>
      </c>
      <c r="D39" s="3" t="str">
        <f>IF('DATI LOGICI'!D37&lt;&gt;"",'DATI LOGICI'!D37,"")</f>
        <v/>
      </c>
      <c r="E39" s="3" t="str">
        <f>IF('DATI LOGICI'!E37&lt;&gt;"",'DATI LOGICI'!E37,"")</f>
        <v/>
      </c>
      <c r="F39" s="3" t="str">
        <f>IF('DATI LOGICI'!F37&lt;&gt;"",'DATI LOGICI'!F37,"")</f>
        <v/>
      </c>
      <c r="G39" s="3" t="str">
        <f>IF('DATI LOGICI'!G37&lt;&gt;"",'DATI LOGICI'!G37,"")</f>
        <v/>
      </c>
      <c r="H39" s="3" t="str">
        <f>IF('DATI LOGICI'!H37&lt;&gt;"",'DATI LOGICI'!H37,"")</f>
        <v/>
      </c>
      <c r="I39" s="3" t="str">
        <f>IF('DATI LOGICI'!I37&lt;&gt;"",'DATI LOGICI'!I37,"")</f>
        <v/>
      </c>
    </row>
    <row r="42" spans="1:23" x14ac:dyDescent="0.25">
      <c r="A42" s="64" t="s">
        <v>521</v>
      </c>
      <c r="B42" s="64"/>
      <c r="C42" s="64"/>
      <c r="D42" s="64"/>
      <c r="E42" s="64"/>
      <c r="F42" s="64"/>
      <c r="G42" s="64"/>
      <c r="H42" s="64"/>
      <c r="I42" s="64"/>
      <c r="J42" s="43"/>
      <c r="K42" s="107"/>
      <c r="L42" s="108"/>
      <c r="M42" s="108"/>
      <c r="N42" s="108"/>
      <c r="O42" s="108"/>
      <c r="P42" s="108"/>
      <c r="Q42" s="108"/>
      <c r="R42" s="108"/>
      <c r="S42" s="108"/>
      <c r="T42" s="108"/>
      <c r="U42" s="108"/>
      <c r="V42" s="108"/>
      <c r="W42" s="108"/>
    </row>
    <row r="43" spans="1:23" ht="60" x14ac:dyDescent="0.25">
      <c r="A43" s="19" t="s">
        <v>458</v>
      </c>
      <c r="B43" s="3">
        <v>80</v>
      </c>
      <c r="C43" s="3">
        <v>0</v>
      </c>
      <c r="D43" s="3" t="s">
        <v>241</v>
      </c>
      <c r="E43" s="3"/>
      <c r="F43" s="3">
        <v>0</v>
      </c>
      <c r="G43" s="3">
        <v>3</v>
      </c>
      <c r="H43" s="3"/>
      <c r="I43" s="3" t="s">
        <v>88</v>
      </c>
      <c r="J43" s="3"/>
      <c r="K43" s="38" t="s">
        <v>637</v>
      </c>
    </row>
    <row r="44" spans="1:23" x14ac:dyDescent="0.25">
      <c r="A44" s="19" t="s">
        <v>459</v>
      </c>
      <c r="B44" s="3">
        <v>80</v>
      </c>
      <c r="C44" s="3">
        <v>1</v>
      </c>
      <c r="D44" s="3" t="s">
        <v>141</v>
      </c>
      <c r="E44" s="3"/>
      <c r="F44" s="3">
        <v>0</v>
      </c>
      <c r="G44" s="3">
        <v>1</v>
      </c>
      <c r="H44" s="3"/>
      <c r="I44" s="3" t="s">
        <v>94</v>
      </c>
      <c r="J44" s="3"/>
      <c r="K44" s="1" t="s">
        <v>638</v>
      </c>
      <c r="L44" s="3"/>
      <c r="M44" s="3"/>
      <c r="N44" s="3"/>
      <c r="O44" s="3"/>
    </row>
    <row r="45" spans="1:23" x14ac:dyDescent="0.25">
      <c r="A45" s="19" t="s">
        <v>460</v>
      </c>
      <c r="B45" s="3">
        <v>80</v>
      </c>
      <c r="C45" s="3">
        <v>2</v>
      </c>
      <c r="D45" s="3" t="s">
        <v>226</v>
      </c>
      <c r="E45" s="3"/>
      <c r="F45" s="3"/>
      <c r="G45" s="3"/>
      <c r="H45" s="3"/>
      <c r="I45" s="3" t="s">
        <v>94</v>
      </c>
      <c r="J45" s="3"/>
      <c r="K45" s="3"/>
    </row>
    <row r="46" spans="1:23" x14ac:dyDescent="0.25">
      <c r="A46" s="19" t="s">
        <v>461</v>
      </c>
      <c r="B46" s="3">
        <v>80</v>
      </c>
      <c r="C46" s="3">
        <v>3</v>
      </c>
      <c r="D46" s="3" t="s">
        <v>226</v>
      </c>
      <c r="E46" s="3"/>
      <c r="F46" s="3"/>
      <c r="G46" s="3"/>
      <c r="H46" s="3"/>
      <c r="I46" s="3" t="s">
        <v>94</v>
      </c>
      <c r="J46" s="3"/>
      <c r="K46" s="3"/>
    </row>
    <row r="47" spans="1:23" x14ac:dyDescent="0.25">
      <c r="A47" s="19" t="s">
        <v>462</v>
      </c>
      <c r="B47" s="3">
        <v>80</v>
      </c>
      <c r="C47" s="3">
        <v>4</v>
      </c>
      <c r="D47" s="3" t="s">
        <v>226</v>
      </c>
      <c r="I47" s="3" t="s">
        <v>94</v>
      </c>
      <c r="J47" s="3"/>
      <c r="K47" s="3"/>
    </row>
    <row r="48" spans="1:23" x14ac:dyDescent="0.25">
      <c r="A48" s="41" t="s">
        <v>463</v>
      </c>
      <c r="B48" s="3">
        <v>80</v>
      </c>
      <c r="C48" s="3">
        <v>5</v>
      </c>
      <c r="D48" s="3" t="s">
        <v>226</v>
      </c>
      <c r="I48" s="3" t="s">
        <v>94</v>
      </c>
      <c r="J48" s="3"/>
    </row>
    <row r="49" spans="1:11" x14ac:dyDescent="0.25">
      <c r="A49" s="41" t="s">
        <v>464</v>
      </c>
      <c r="B49" s="3">
        <v>80</v>
      </c>
      <c r="C49" s="3">
        <v>6</v>
      </c>
      <c r="D49" s="3" t="s">
        <v>226</v>
      </c>
      <c r="I49" s="3" t="s">
        <v>94</v>
      </c>
      <c r="J49" s="3"/>
    </row>
    <row r="50" spans="1:11" x14ac:dyDescent="0.25">
      <c r="A50" s="41" t="s">
        <v>465</v>
      </c>
      <c r="B50" s="3">
        <v>80</v>
      </c>
      <c r="C50" s="3">
        <v>7</v>
      </c>
      <c r="D50" s="3" t="s">
        <v>226</v>
      </c>
      <c r="I50" s="3" t="s">
        <v>94</v>
      </c>
    </row>
    <row r="51" spans="1:11" x14ac:dyDescent="0.25">
      <c r="A51" s="41" t="s">
        <v>470</v>
      </c>
      <c r="B51" s="3">
        <v>80</v>
      </c>
      <c r="C51" s="3">
        <v>8</v>
      </c>
      <c r="D51" s="3" t="s">
        <v>226</v>
      </c>
      <c r="I51" s="3" t="s">
        <v>94</v>
      </c>
    </row>
    <row r="52" spans="1:11" x14ac:dyDescent="0.25">
      <c r="A52" s="41" t="s">
        <v>471</v>
      </c>
      <c r="B52" s="3">
        <v>80</v>
      </c>
      <c r="C52" s="3">
        <v>9</v>
      </c>
      <c r="D52" s="3" t="s">
        <v>226</v>
      </c>
      <c r="I52" s="3" t="s">
        <v>94</v>
      </c>
    </row>
    <row r="53" spans="1:11" x14ac:dyDescent="0.25">
      <c r="A53" s="41" t="s">
        <v>601</v>
      </c>
      <c r="B53" s="3">
        <v>80</v>
      </c>
      <c r="C53" s="3" t="s">
        <v>55</v>
      </c>
      <c r="D53" s="3" t="s">
        <v>141</v>
      </c>
      <c r="F53" s="3">
        <v>0</v>
      </c>
      <c r="G53" s="3">
        <v>1</v>
      </c>
      <c r="I53" s="3" t="s">
        <v>94</v>
      </c>
      <c r="K53" s="1" t="s">
        <v>639</v>
      </c>
    </row>
    <row r="54" spans="1:11" x14ac:dyDescent="0.25">
      <c r="A54" s="41" t="s">
        <v>602</v>
      </c>
      <c r="B54" s="3">
        <v>80</v>
      </c>
      <c r="C54" s="3" t="s">
        <v>57</v>
      </c>
      <c r="D54" s="3" t="s">
        <v>141</v>
      </c>
      <c r="F54" s="3">
        <v>0</v>
      </c>
      <c r="G54" s="3">
        <v>1</v>
      </c>
      <c r="I54" s="3" t="s">
        <v>94</v>
      </c>
      <c r="K54" s="1" t="s">
        <v>639</v>
      </c>
    </row>
    <row r="55" spans="1:11" x14ac:dyDescent="0.25">
      <c r="A55" s="41" t="s">
        <v>452</v>
      </c>
      <c r="B55" s="3">
        <v>80</v>
      </c>
      <c r="C55" s="3" t="s">
        <v>58</v>
      </c>
      <c r="D55" s="3" t="s">
        <v>141</v>
      </c>
      <c r="F55" s="3">
        <v>0</v>
      </c>
      <c r="G55" s="3">
        <v>1</v>
      </c>
    </row>
    <row r="56" spans="1:11" ht="60" x14ac:dyDescent="0.25">
      <c r="A56" s="41" t="s">
        <v>603</v>
      </c>
      <c r="B56" s="3">
        <v>80</v>
      </c>
      <c r="C56" s="3" t="s">
        <v>60</v>
      </c>
      <c r="D56" s="3" t="s">
        <v>138</v>
      </c>
      <c r="K56" s="38" t="s">
        <v>633</v>
      </c>
    </row>
    <row r="57" spans="1:11" ht="30" x14ac:dyDescent="0.25">
      <c r="A57" s="41" t="s">
        <v>604</v>
      </c>
      <c r="B57" s="3">
        <v>80</v>
      </c>
      <c r="C57" s="3" t="s">
        <v>64</v>
      </c>
      <c r="D57" s="3" t="s">
        <v>138</v>
      </c>
      <c r="K57" s="38" t="s">
        <v>626</v>
      </c>
    </row>
    <row r="58" spans="1:11" x14ac:dyDescent="0.25">
      <c r="A58" s="41" t="s">
        <v>605</v>
      </c>
      <c r="B58" s="3">
        <v>80</v>
      </c>
      <c r="C58" s="3" t="s">
        <v>66</v>
      </c>
      <c r="D58" s="3" t="s">
        <v>630</v>
      </c>
    </row>
    <row r="59" spans="1:11" x14ac:dyDescent="0.25">
      <c r="A59" s="41" t="s">
        <v>606</v>
      </c>
      <c r="B59" s="3">
        <v>80</v>
      </c>
      <c r="C59" s="3">
        <v>10</v>
      </c>
      <c r="D59" s="3" t="s">
        <v>630</v>
      </c>
    </row>
    <row r="60" spans="1:11" x14ac:dyDescent="0.25">
      <c r="A60" s="41" t="s">
        <v>607</v>
      </c>
      <c r="B60" s="3">
        <v>80</v>
      </c>
      <c r="C60" s="3">
        <v>11</v>
      </c>
      <c r="D60" s="3" t="s">
        <v>141</v>
      </c>
    </row>
    <row r="61" spans="1:11" ht="105" x14ac:dyDescent="0.25">
      <c r="A61" s="41" t="s">
        <v>610</v>
      </c>
      <c r="B61" s="3">
        <v>80</v>
      </c>
      <c r="C61" s="3">
        <v>12</v>
      </c>
      <c r="D61" s="3" t="s">
        <v>138</v>
      </c>
      <c r="K61" s="38" t="s">
        <v>627</v>
      </c>
    </row>
    <row r="62" spans="1:11" x14ac:dyDescent="0.25">
      <c r="A62" s="41" t="s">
        <v>611</v>
      </c>
      <c r="B62" s="3">
        <v>80</v>
      </c>
      <c r="C62" s="3">
        <v>13</v>
      </c>
      <c r="D62" s="3" t="s">
        <v>132</v>
      </c>
    </row>
    <row r="63" spans="1:11" x14ac:dyDescent="0.25">
      <c r="A63" s="41" t="s">
        <v>917</v>
      </c>
      <c r="B63" s="3">
        <v>80</v>
      </c>
      <c r="C63" s="3">
        <v>14</v>
      </c>
      <c r="D63" s="3" t="s">
        <v>141</v>
      </c>
      <c r="K63" s="38" t="s">
        <v>918</v>
      </c>
    </row>
    <row r="64" spans="1:11" ht="105" x14ac:dyDescent="0.25">
      <c r="A64" s="41" t="s">
        <v>923</v>
      </c>
      <c r="B64" s="3">
        <v>80</v>
      </c>
      <c r="C64" s="3">
        <v>15</v>
      </c>
      <c r="D64" s="3" t="s">
        <v>138</v>
      </c>
      <c r="K64" s="38" t="s">
        <v>921</v>
      </c>
    </row>
    <row r="65" spans="1:5" x14ac:dyDescent="0.25">
      <c r="A65" s="41" t="s">
        <v>919</v>
      </c>
      <c r="B65" s="3">
        <v>80</v>
      </c>
      <c r="C65" s="3">
        <v>16</v>
      </c>
      <c r="D65" s="3" t="s">
        <v>132</v>
      </c>
    </row>
    <row r="66" spans="1:5" x14ac:dyDescent="0.25">
      <c r="A66" s="41" t="s">
        <v>920</v>
      </c>
      <c r="B66" s="3">
        <v>80</v>
      </c>
      <c r="C66" s="3">
        <v>17</v>
      </c>
      <c r="D66" s="3" t="s">
        <v>241</v>
      </c>
      <c r="E66" s="95">
        <v>255255</v>
      </c>
    </row>
    <row r="67" spans="1:5" x14ac:dyDescent="0.25">
      <c r="A67" s="41" t="s">
        <v>922</v>
      </c>
      <c r="B67" s="3">
        <v>80</v>
      </c>
      <c r="C67" s="3">
        <v>18</v>
      </c>
      <c r="D67" s="3" t="s">
        <v>141</v>
      </c>
    </row>
    <row r="68" spans="1:5" x14ac:dyDescent="0.25">
      <c r="A68" s="41" t="s">
        <v>925</v>
      </c>
      <c r="B68" s="3">
        <v>80</v>
      </c>
      <c r="C68" s="3">
        <v>19</v>
      </c>
      <c r="D68" s="3" t="s">
        <v>141</v>
      </c>
    </row>
    <row r="69" spans="1:5" x14ac:dyDescent="0.25">
      <c r="A69" s="41" t="s">
        <v>926</v>
      </c>
      <c r="B69" s="3">
        <v>80</v>
      </c>
      <c r="C69" s="3" t="s">
        <v>345</v>
      </c>
      <c r="D69" s="3" t="s">
        <v>132</v>
      </c>
    </row>
    <row r="70" spans="1:5" x14ac:dyDescent="0.25">
      <c r="A70" s="41" t="s">
        <v>927</v>
      </c>
      <c r="B70" s="3">
        <v>80</v>
      </c>
      <c r="C70" s="3" t="s">
        <v>498</v>
      </c>
      <c r="D70" s="3" t="s">
        <v>132</v>
      </c>
    </row>
    <row r="71" spans="1:5" x14ac:dyDescent="0.25">
      <c r="A71" s="41" t="s">
        <v>928</v>
      </c>
      <c r="B71" s="3">
        <v>80</v>
      </c>
      <c r="C71" s="3" t="s">
        <v>499</v>
      </c>
      <c r="D71" s="3" t="s">
        <v>241</v>
      </c>
      <c r="E71" s="95">
        <v>255255</v>
      </c>
    </row>
  </sheetData>
  <mergeCells count="4">
    <mergeCell ref="K42:W42"/>
    <mergeCell ref="B3:C3"/>
    <mergeCell ref="K4:T4"/>
    <mergeCell ref="A1:J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50326-345A-4986-9024-B387E684CBA0}">
  <dimension ref="A1:W51"/>
  <sheetViews>
    <sheetView workbookViewId="0">
      <pane xSplit="3" ySplit="4" topLeftCell="D5" activePane="bottomRight" state="frozen"/>
      <selection pane="topRight" activeCell="D1" sqref="D1"/>
      <selection pane="bottomLeft" activeCell="A3" sqref="A3"/>
      <selection pane="bottomRight" activeCell="A2" sqref="A2"/>
    </sheetView>
  </sheetViews>
  <sheetFormatPr defaultColWidth="8.5703125" defaultRowHeight="15" x14ac:dyDescent="0.25"/>
  <cols>
    <col min="1" max="1" width="50.7109375" style="3" customWidth="1"/>
    <col min="2" max="3" width="12.7109375" style="1" customWidth="1"/>
    <col min="4" max="4" width="10.7109375" style="1" customWidth="1"/>
    <col min="5" max="7" width="14.7109375" style="1" customWidth="1"/>
    <col min="8" max="8" width="17.5703125" style="1" customWidth="1"/>
    <col min="9" max="9" width="4.7109375" style="1" customWidth="1"/>
    <col min="10" max="10" width="10.7109375" style="1" customWidth="1"/>
    <col min="11" max="11" width="110.7109375" style="1" customWidth="1"/>
    <col min="12" max="15" width="22.42578125" style="1" customWidth="1"/>
    <col min="16" max="16384" width="8.5703125" style="1"/>
  </cols>
  <sheetData>
    <row r="1" spans="1:23" x14ac:dyDescent="0.25">
      <c r="A1" s="100" t="s">
        <v>780</v>
      </c>
      <c r="B1" s="100"/>
      <c r="C1" s="100"/>
      <c r="D1" s="100"/>
      <c r="E1" s="100"/>
      <c r="F1" s="100"/>
      <c r="G1" s="100"/>
      <c r="H1" s="100"/>
      <c r="I1" s="100"/>
      <c r="J1" s="100"/>
      <c r="K1" s="3"/>
    </row>
    <row r="2" spans="1:23" x14ac:dyDescent="0.25">
      <c r="A2" s="3" t="s">
        <v>897</v>
      </c>
      <c r="K2" s="3"/>
    </row>
    <row r="3" spans="1:23" x14ac:dyDescent="0.25">
      <c r="A3" s="14" t="s">
        <v>894</v>
      </c>
      <c r="B3" s="5" t="s">
        <v>81</v>
      </c>
      <c r="C3" s="5" t="s">
        <v>82</v>
      </c>
      <c r="D3" s="2" t="s">
        <v>83</v>
      </c>
      <c r="E3" s="15" t="s">
        <v>84</v>
      </c>
      <c r="F3" s="16" t="s">
        <v>85</v>
      </c>
      <c r="G3" s="16" t="s">
        <v>86</v>
      </c>
      <c r="H3" s="17" t="s">
        <v>87</v>
      </c>
      <c r="I3" s="18" t="s">
        <v>88</v>
      </c>
      <c r="J3" s="44" t="s">
        <v>487</v>
      </c>
      <c r="K3" s="3" t="s">
        <v>135</v>
      </c>
      <c r="L3" s="1" t="s">
        <v>351</v>
      </c>
      <c r="M3" s="1" t="s">
        <v>357</v>
      </c>
      <c r="N3" s="1" t="s">
        <v>352</v>
      </c>
      <c r="O3" s="1" t="s">
        <v>355</v>
      </c>
    </row>
    <row r="4" spans="1:23" customFormat="1" x14ac:dyDescent="0.25">
      <c r="A4" s="43" t="s">
        <v>89</v>
      </c>
      <c r="B4" s="62"/>
      <c r="C4" s="62"/>
      <c r="D4" s="62"/>
      <c r="E4" s="62"/>
      <c r="F4" s="62"/>
      <c r="G4" s="62"/>
      <c r="H4" s="62"/>
      <c r="I4" s="62"/>
      <c r="J4" s="63"/>
      <c r="K4" s="104"/>
      <c r="L4" s="105"/>
      <c r="M4" s="105"/>
      <c r="N4" s="105"/>
      <c r="O4" s="105"/>
      <c r="P4" s="105"/>
      <c r="Q4" s="105"/>
      <c r="R4" s="105"/>
      <c r="S4" s="105"/>
      <c r="T4" s="106"/>
    </row>
    <row r="5" spans="1:23" s="76" customFormat="1" x14ac:dyDescent="0.25">
      <c r="A5" s="77" t="str">
        <f>IF('DATI LOGICI'!A3&lt;&gt;"",'DATI LOGICI'!A3,"")</f>
        <v>Firmware macchina</v>
      </c>
      <c r="B5" s="75">
        <f>IF('DATI LOGICI'!B3&lt;&gt;"",'DATI LOGICI'!B3,"")</f>
        <v>0</v>
      </c>
      <c r="C5" s="75">
        <f>IF('DATI LOGICI'!C3&lt;&gt;"",'DATI LOGICI'!C3,"")</f>
        <v>0</v>
      </c>
      <c r="D5" s="75" t="str">
        <f>IF('DATI LOGICI'!D3&lt;&gt;"",'DATI LOGICI'!D3,"")</f>
        <v xml:space="preserve">uint16_t </v>
      </c>
      <c r="E5" s="75" t="str">
        <f>IF('DATI LOGICI'!E3&lt;&gt;"",'DATI LOGICI'!E3,"")</f>
        <v>255.255</v>
      </c>
      <c r="F5" s="75">
        <f>IF('DATI LOGICI'!F3&lt;&gt;"",'DATI LOGICI'!F3,"")</f>
        <v>0</v>
      </c>
      <c r="G5" s="75" t="str">
        <f>IF('DATI LOGICI'!G3&lt;&gt;"",'DATI LOGICI'!G3,"")</f>
        <v>255.255</v>
      </c>
      <c r="H5" s="75" t="str">
        <f>IF('DATI LOGICI'!H3&lt;&gt;"",'DATI LOGICI'!H3,"")</f>
        <v/>
      </c>
      <c r="I5" s="75" t="str">
        <f>IF('DATI LOGICI'!I3&lt;&gt;"",'DATI LOGICI'!I3,"")</f>
        <v>R</v>
      </c>
      <c r="J5" s="75"/>
      <c r="K5" s="75"/>
      <c r="L5" s="75"/>
      <c r="M5" s="75"/>
      <c r="N5" s="75"/>
      <c r="O5" s="75"/>
      <c r="P5" s="75"/>
      <c r="Q5" s="75"/>
      <c r="R5" s="75"/>
      <c r="S5" s="75"/>
      <c r="T5" s="75"/>
      <c r="U5" s="75"/>
      <c r="V5" s="75"/>
      <c r="W5" s="75"/>
    </row>
    <row r="6" spans="1:23" s="76" customFormat="1" x14ac:dyDescent="0.25">
      <c r="A6" s="77" t="str">
        <f>IF('DATI LOGICI'!A4&lt;&gt;"",'DATI LOGICI'!A4,"")</f>
        <v>Firmware scheda</v>
      </c>
      <c r="B6" s="75">
        <f>IF('DATI LOGICI'!B4&lt;&gt;"",'DATI LOGICI'!B4,"")</f>
        <v>0</v>
      </c>
      <c r="C6" s="75">
        <f>IF('DATI LOGICI'!C4&lt;&gt;"",'DATI LOGICI'!C4,"")</f>
        <v>1</v>
      </c>
      <c r="D6" s="75" t="str">
        <f>IF('DATI LOGICI'!D4&lt;&gt;"",'DATI LOGICI'!D4,"")</f>
        <v xml:space="preserve">uint16_t </v>
      </c>
      <c r="E6" s="75" t="str">
        <f>IF('DATI LOGICI'!E4&lt;&gt;"",'DATI LOGICI'!E4,"")</f>
        <v>255.255</v>
      </c>
      <c r="F6" s="75">
        <f>IF('DATI LOGICI'!F4&lt;&gt;"",'DATI LOGICI'!F4,"")</f>
        <v>0</v>
      </c>
      <c r="G6" s="75" t="str">
        <f>IF('DATI LOGICI'!G4&lt;&gt;"",'DATI LOGICI'!G4,"")</f>
        <v>255.255</v>
      </c>
      <c r="H6" s="75" t="str">
        <f>IF('DATI LOGICI'!H4&lt;&gt;"",'DATI LOGICI'!H4,"")</f>
        <v/>
      </c>
      <c r="I6" s="75" t="str">
        <f>IF('DATI LOGICI'!I4&lt;&gt;"",'DATI LOGICI'!I4,"")</f>
        <v>R</v>
      </c>
      <c r="J6" s="75"/>
      <c r="K6" s="75"/>
      <c r="L6" s="75"/>
      <c r="M6" s="75"/>
      <c r="N6" s="75"/>
      <c r="O6" s="75"/>
      <c r="P6" s="75"/>
      <c r="Q6" s="75"/>
      <c r="R6" s="75"/>
      <c r="S6" s="75"/>
      <c r="T6" s="75"/>
      <c r="U6" s="75"/>
      <c r="V6" s="75"/>
      <c r="W6" s="75"/>
    </row>
    <row r="7" spans="1:23" s="76" customFormat="1" x14ac:dyDescent="0.25">
      <c r="A7" s="77" t="str">
        <f>IF('DATI LOGICI'!A5&lt;&gt;"",'DATI LOGICI'!A5,"")</f>
        <v>Modello</v>
      </c>
      <c r="B7" s="75">
        <f>IF('DATI LOGICI'!B5&lt;&gt;"",'DATI LOGICI'!B5,"")</f>
        <v>0</v>
      </c>
      <c r="C7" s="75">
        <f>IF('DATI LOGICI'!C5&lt;&gt;"",'DATI LOGICI'!C5,"")</f>
        <v>2</v>
      </c>
      <c r="D7" s="75" t="str">
        <f>IF('DATI LOGICI'!D5&lt;&gt;"",'DATI LOGICI'!D5,"")</f>
        <v>String[20]</v>
      </c>
      <c r="E7" s="75" t="str">
        <f>IF('DATI LOGICI'!E5&lt;&gt;"",'DATI LOGICI'!E5,"")</f>
        <v/>
      </c>
      <c r="F7" s="75" t="str">
        <f>IF('DATI LOGICI'!F5&lt;&gt;"",'DATI LOGICI'!F5,"")</f>
        <v/>
      </c>
      <c r="G7" s="75" t="str">
        <f>IF('DATI LOGICI'!G5&lt;&gt;"",'DATI LOGICI'!G5,"")</f>
        <v/>
      </c>
      <c r="H7" s="75" t="str">
        <f>IF('DATI LOGICI'!H5&lt;&gt;"",'DATI LOGICI'!H5,"")</f>
        <v/>
      </c>
      <c r="I7" s="75" t="str">
        <f>IF('DATI LOGICI'!I5&lt;&gt;"",'DATI LOGICI'!I5,"")</f>
        <v>R</v>
      </c>
      <c r="J7" s="75"/>
      <c r="K7" s="75"/>
      <c r="L7" s="75"/>
      <c r="M7" s="75"/>
      <c r="N7" s="75"/>
      <c r="O7" s="75"/>
      <c r="P7" s="75"/>
      <c r="Q7" s="75"/>
      <c r="R7" s="75"/>
      <c r="S7" s="75"/>
      <c r="T7" s="75"/>
      <c r="U7" s="75"/>
      <c r="V7" s="75"/>
      <c r="W7" s="75"/>
    </row>
    <row r="8" spans="1:23" s="76" customFormat="1" x14ac:dyDescent="0.25">
      <c r="A8" s="77" t="str">
        <f>IF('DATI LOGICI'!A6&lt;&gt;"",'DATI LOGICI'!A6,"")</f>
        <v>Matricola</v>
      </c>
      <c r="B8" s="75">
        <f>IF('DATI LOGICI'!B6&lt;&gt;"",'DATI LOGICI'!B6,"")</f>
        <v>0</v>
      </c>
      <c r="C8" s="75">
        <f>IF('DATI LOGICI'!C6&lt;&gt;"",'DATI LOGICI'!C6,"")</f>
        <v>3</v>
      </c>
      <c r="D8" s="75" t="str">
        <f>IF('DATI LOGICI'!D6&lt;&gt;"",'DATI LOGICI'!D6,"")</f>
        <v xml:space="preserve">uint32_t </v>
      </c>
      <c r="E8" s="75" t="str">
        <f>IF('DATI LOGICI'!E6&lt;&gt;"",'DATI LOGICI'!E6,"")</f>
        <v/>
      </c>
      <c r="F8" s="75">
        <f>IF('DATI LOGICI'!F6&lt;&gt;"",'DATI LOGICI'!F6,"")</f>
        <v>0</v>
      </c>
      <c r="G8" s="75">
        <f>IF('DATI LOGICI'!G6&lt;&gt;"",'DATI LOGICI'!G6,"")</f>
        <v>4294967296</v>
      </c>
      <c r="H8" s="75" t="str">
        <f>IF('DATI LOGICI'!H6&lt;&gt;"",'DATI LOGICI'!H6,"")</f>
        <v/>
      </c>
      <c r="I8" s="75" t="str">
        <f>IF('DATI LOGICI'!I6&lt;&gt;"",'DATI LOGICI'!I6,"")</f>
        <v>RW</v>
      </c>
      <c r="J8" s="75"/>
      <c r="K8" s="75"/>
      <c r="L8" s="75"/>
      <c r="M8" s="75"/>
      <c r="N8" s="75"/>
      <c r="O8" s="75"/>
      <c r="P8" s="75"/>
      <c r="Q8" s="75"/>
      <c r="R8" s="75"/>
      <c r="S8" s="75"/>
      <c r="T8" s="75"/>
      <c r="U8" s="75"/>
      <c r="V8" s="75"/>
      <c r="W8" s="75"/>
    </row>
    <row r="9" spans="1:23" s="76" customFormat="1" x14ac:dyDescent="0.25">
      <c r="A9" s="77" t="str">
        <f>IF('DATI LOGICI'!A7&lt;&gt;"",'DATI LOGICI'!A7,"")</f>
        <v>Tipo scheda</v>
      </c>
      <c r="B9" s="75">
        <f>IF('DATI LOGICI'!B7&lt;&gt;"",'DATI LOGICI'!B7,"")</f>
        <v>0</v>
      </c>
      <c r="C9" s="75">
        <f>IF('DATI LOGICI'!C7&lt;&gt;"",'DATI LOGICI'!C7,"")</f>
        <v>4</v>
      </c>
      <c r="D9" s="75" t="str">
        <f>IF('DATI LOGICI'!D7&lt;&gt;"",'DATI LOGICI'!D7,"")</f>
        <v>enum dipendente dalle macchine</v>
      </c>
      <c r="E9" s="75" t="str">
        <f>IF('DATI LOGICI'!E7&lt;&gt;"",'DATI LOGICI'!E7,"")</f>
        <v/>
      </c>
      <c r="F9" s="75" t="str">
        <f>IF('DATI LOGICI'!F7&lt;&gt;"",'DATI LOGICI'!F7,"")</f>
        <v/>
      </c>
      <c r="G9" s="75" t="str">
        <f>IF('DATI LOGICI'!G7&lt;&gt;"",'DATI LOGICI'!G7,"")</f>
        <v/>
      </c>
      <c r="H9" s="75" t="str">
        <f>IF('DATI LOGICI'!H7&lt;&gt;"",'DATI LOGICI'!H7,"")</f>
        <v/>
      </c>
      <c r="I9" s="75" t="str">
        <f>IF('DATI LOGICI'!I7&lt;&gt;"",'DATI LOGICI'!I7,"")</f>
        <v>N</v>
      </c>
      <c r="J9" s="75"/>
      <c r="K9" s="75"/>
      <c r="L9" s="75"/>
      <c r="M9" s="75"/>
      <c r="N9" s="75"/>
      <c r="O9" s="75"/>
      <c r="P9" s="75"/>
      <c r="Q9" s="75"/>
      <c r="R9" s="75"/>
      <c r="S9" s="75"/>
      <c r="T9" s="75"/>
      <c r="U9" s="75"/>
      <c r="V9" s="75"/>
      <c r="W9" s="75"/>
    </row>
    <row r="10" spans="1:23" s="76" customFormat="1" x14ac:dyDescent="0.25">
      <c r="A10" s="77" t="str">
        <f>IF('DATI LOGICI'!A8&lt;&gt;"",'DATI LOGICI'!A8,"")</f>
        <v>Stato</v>
      </c>
      <c r="B10" s="75">
        <f>IF('DATI LOGICI'!B8&lt;&gt;"",'DATI LOGICI'!B8,"")</f>
        <v>0</v>
      </c>
      <c r="C10" s="75">
        <f>IF('DATI LOGICI'!C8&lt;&gt;"",'DATI LOGICI'!C8,"")</f>
        <v>5</v>
      </c>
      <c r="D10" s="75" t="str">
        <f>IF('DATI LOGICI'!D8&lt;&gt;"",'DATI LOGICI'!D8,"")</f>
        <v>3*uint32_t</v>
      </c>
      <c r="E10" s="75" t="str">
        <f>IF('DATI LOGICI'!E8&lt;&gt;"",'DATI LOGICI'!E8,"")</f>
        <v/>
      </c>
      <c r="F10" s="75" t="str">
        <f>IF('DATI LOGICI'!F8&lt;&gt;"",'DATI LOGICI'!F8,"")</f>
        <v/>
      </c>
      <c r="G10" s="75" t="str">
        <f>IF('DATI LOGICI'!G8&lt;&gt;"",'DATI LOGICI'!G8,"")</f>
        <v/>
      </c>
      <c r="H10" s="75" t="str">
        <f>IF('DATI LOGICI'!H8&lt;&gt;"",'DATI LOGICI'!H8,"")</f>
        <v/>
      </c>
      <c r="I10" s="75" t="str">
        <f>IF('DATI LOGICI'!I8&lt;&gt;"",'DATI LOGICI'!I8,"")</f>
        <v>R</v>
      </c>
      <c r="J10" s="75"/>
      <c r="K10" s="1" t="s">
        <v>466</v>
      </c>
      <c r="L10" s="75"/>
      <c r="M10" s="75"/>
      <c r="N10" s="75"/>
      <c r="O10" s="75"/>
      <c r="P10" s="75"/>
      <c r="Q10" s="75"/>
      <c r="R10" s="75"/>
      <c r="S10" s="75"/>
      <c r="T10" s="75"/>
      <c r="U10" s="75"/>
      <c r="V10" s="75"/>
      <c r="W10" s="75"/>
    </row>
    <row r="11" spans="1:23" s="76" customFormat="1" ht="135" x14ac:dyDescent="0.25">
      <c r="A11" s="77" t="str">
        <f>IF('DATI LOGICI'!A9&lt;&gt;"",'DATI LOGICI'!A9,"")</f>
        <v>Allarmi</v>
      </c>
      <c r="B11" s="75">
        <f>IF('DATI LOGICI'!B9&lt;&gt;"",'DATI LOGICI'!B9,"")</f>
        <v>0</v>
      </c>
      <c r="C11" s="75">
        <f>IF('DATI LOGICI'!C9&lt;&gt;"",'DATI LOGICI'!C9,"")</f>
        <v>6</v>
      </c>
      <c r="D11" s="75" t="str">
        <f>IF('DATI LOGICI'!D9&lt;&gt;"",'DATI LOGICI'!D9,"")</f>
        <v xml:space="preserve">due word uint16_t bitmapped </v>
      </c>
      <c r="E11" s="75" t="str">
        <f>IF('DATI LOGICI'!E9&lt;&gt;"",'DATI LOGICI'!E9,"")</f>
        <v/>
      </c>
      <c r="F11" s="75" t="str">
        <f>IF('DATI LOGICI'!F9&lt;&gt;"",'DATI LOGICI'!F9,"")</f>
        <v/>
      </c>
      <c r="G11" s="75" t="str">
        <f>IF('DATI LOGICI'!G9&lt;&gt;"",'DATI LOGICI'!G9,"")</f>
        <v/>
      </c>
      <c r="H11" s="75" t="str">
        <f>IF('DATI LOGICI'!H9&lt;&gt;"",'DATI LOGICI'!H9,"")</f>
        <v/>
      </c>
      <c r="I11" s="75" t="str">
        <f>IF('DATI LOGICI'!I9&lt;&gt;"",'DATI LOGICI'!I9,"")</f>
        <v>R</v>
      </c>
      <c r="J11" s="75"/>
      <c r="K11" s="42" t="s">
        <v>609</v>
      </c>
      <c r="L11" s="75"/>
      <c r="M11" s="75"/>
      <c r="N11" s="75"/>
      <c r="O11" s="75"/>
      <c r="P11" s="75"/>
      <c r="Q11" s="75"/>
      <c r="R11" s="75"/>
      <c r="S11" s="75"/>
      <c r="T11" s="75"/>
      <c r="U11" s="75"/>
      <c r="V11" s="75"/>
      <c r="W11" s="75"/>
    </row>
    <row r="12" spans="1:23" s="76" customFormat="1" x14ac:dyDescent="0.25">
      <c r="A12" s="77" t="str">
        <f>IF('DATI LOGICI'!A10&lt;&gt;"",'DATI LOGICI'!A10,"")</f>
        <v>Comandi</v>
      </c>
      <c r="B12" s="75">
        <f>IF('DATI LOGICI'!B10&lt;&gt;"",'DATI LOGICI'!B10,"")</f>
        <v>0</v>
      </c>
      <c r="C12" s="75">
        <f>IF('DATI LOGICI'!C10&lt;&gt;"",'DATI LOGICI'!C10,"")</f>
        <v>7</v>
      </c>
      <c r="D12" s="75" t="str">
        <f>IF('DATI LOGICI'!D10&lt;&gt;"",'DATI LOGICI'!D10,"")</f>
        <v xml:space="preserve">uint16_t </v>
      </c>
      <c r="E12" s="75" t="str">
        <f>IF('DATI LOGICI'!E10&lt;&gt;"",'DATI LOGICI'!E10,"")</f>
        <v/>
      </c>
      <c r="F12" s="75" t="str">
        <f>IF('DATI LOGICI'!F10&lt;&gt;"",'DATI LOGICI'!F10,"")</f>
        <v/>
      </c>
      <c r="G12" s="75" t="str">
        <f>IF('DATI LOGICI'!G10&lt;&gt;"",'DATI LOGICI'!G10,"")</f>
        <v/>
      </c>
      <c r="H12" s="75" t="str">
        <f>IF('DATI LOGICI'!H10&lt;&gt;"",'DATI LOGICI'!H10,"")</f>
        <v/>
      </c>
      <c r="I12" s="75" t="str">
        <f>IF('DATI LOGICI'!I10&lt;&gt;"",'DATI LOGICI'!I10,"")</f>
        <v>N</v>
      </c>
      <c r="J12" s="75"/>
      <c r="K12" s="75"/>
      <c r="L12" s="75"/>
      <c r="M12" s="75"/>
      <c r="N12" s="75"/>
      <c r="O12" s="75"/>
      <c r="P12" s="75"/>
      <c r="Q12" s="75"/>
      <c r="R12" s="75"/>
      <c r="S12" s="75"/>
      <c r="T12" s="75"/>
      <c r="U12" s="75"/>
      <c r="V12" s="75"/>
      <c r="W12" s="75"/>
    </row>
    <row r="13" spans="1:23" s="76" customFormat="1" x14ac:dyDescent="0.25">
      <c r="A13" s="78" t="str">
        <f>IF('DATI LOGICI'!A11&lt;&gt;"",'DATI LOGICI'!A11,"")</f>
        <v>Temperatura scheda</v>
      </c>
      <c r="B13" s="75">
        <f>IF('DATI LOGICI'!B11&lt;&gt;"",'DATI LOGICI'!B11,"")</f>
        <v>0</v>
      </c>
      <c r="C13" s="75">
        <f>IF('DATI LOGICI'!C11&lt;&gt;"",'DATI LOGICI'!C11,"")</f>
        <v>8</v>
      </c>
      <c r="D13" s="75" t="str">
        <f>IF('DATI LOGICI'!D11&lt;&gt;"",'DATI LOGICI'!D11,"")</f>
        <v xml:space="preserve">uint16_t </v>
      </c>
      <c r="E13" s="75" t="str">
        <f>IF('DATI LOGICI'!E11&lt;&gt;"",'DATI LOGICI'!E11,"")</f>
        <v/>
      </c>
      <c r="F13" s="75" t="str">
        <f>IF('DATI LOGICI'!F11&lt;&gt;"",'DATI LOGICI'!F11,"")</f>
        <v/>
      </c>
      <c r="G13" s="75" t="str">
        <f>IF('DATI LOGICI'!G11&lt;&gt;"",'DATI LOGICI'!G11,"")</f>
        <v/>
      </c>
      <c r="H13" s="75" t="str">
        <f>IF('DATI LOGICI'!H11&lt;&gt;"",'DATI LOGICI'!H11,"")</f>
        <v/>
      </c>
      <c r="I13" s="75" t="str">
        <f>IF('DATI LOGICI'!I11&lt;&gt;"",'DATI LOGICI'!I11,"")</f>
        <v>R</v>
      </c>
      <c r="J13" s="75"/>
      <c r="K13" s="75"/>
      <c r="L13" s="75"/>
      <c r="M13" s="75"/>
      <c r="N13" s="75"/>
      <c r="O13" s="75"/>
      <c r="P13" s="75"/>
      <c r="Q13" s="75"/>
      <c r="R13" s="75"/>
      <c r="S13" s="75"/>
      <c r="T13" s="75"/>
      <c r="U13" s="75"/>
      <c r="V13" s="75"/>
      <c r="W13" s="75"/>
    </row>
    <row r="14" spans="1:23" s="76" customFormat="1" x14ac:dyDescent="0.25">
      <c r="A14" s="75" t="str">
        <f>IF('DATI LOGICI'!A12&lt;&gt;"",'DATI LOGICI'!A12,"")</f>
        <v>Secondi lavoro motore parziale</v>
      </c>
      <c r="B14" s="75">
        <f>IF('DATI LOGICI'!B12&lt;&gt;"",'DATI LOGICI'!B12,"")</f>
        <v>0</v>
      </c>
      <c r="C14" s="75">
        <f>IF('DATI LOGICI'!C12&lt;&gt;"",'DATI LOGICI'!C12,"")</f>
        <v>9</v>
      </c>
      <c r="D14" s="75" t="str">
        <f>IF('DATI LOGICI'!D12&lt;&gt;"",'DATI LOGICI'!D12,"")</f>
        <v xml:space="preserve">uint32_t </v>
      </c>
      <c r="E14" s="75" t="str">
        <f>IF('DATI LOGICI'!E12&lt;&gt;"",'DATI LOGICI'!E12,"")</f>
        <v/>
      </c>
      <c r="F14" s="75" t="str">
        <f>IF('DATI LOGICI'!F12&lt;&gt;"",'DATI LOGICI'!F12,"")</f>
        <v/>
      </c>
      <c r="G14" s="75" t="str">
        <f>IF('DATI LOGICI'!G12&lt;&gt;"",'DATI LOGICI'!G12,"")</f>
        <v/>
      </c>
      <c r="H14" s="75" t="str">
        <f>IF('DATI LOGICI'!H12&lt;&gt;"",'DATI LOGICI'!H12,"")</f>
        <v/>
      </c>
      <c r="I14" s="75" t="str">
        <f>IF('DATI LOGICI'!I12&lt;&gt;"",'DATI LOGICI'!I12,"")</f>
        <v>RW</v>
      </c>
      <c r="J14" s="75"/>
      <c r="K14" s="75"/>
      <c r="L14" s="75"/>
      <c r="M14" s="75"/>
      <c r="N14" s="75"/>
      <c r="O14" s="75"/>
      <c r="P14" s="75"/>
      <c r="Q14" s="75"/>
      <c r="R14" s="75"/>
      <c r="S14" s="75"/>
      <c r="T14" s="75"/>
      <c r="U14" s="75"/>
      <c r="V14" s="75"/>
      <c r="W14" s="75"/>
    </row>
    <row r="15" spans="1:23" s="76" customFormat="1" x14ac:dyDescent="0.25">
      <c r="A15" s="75" t="str">
        <f>IF('DATI LOGICI'!A13&lt;&gt;"",'DATI LOGICI'!A13,"")</f>
        <v>Secondi lavoro motore totale</v>
      </c>
      <c r="B15" s="75">
        <f>IF('DATI LOGICI'!B13&lt;&gt;"",'DATI LOGICI'!B13,"")</f>
        <v>0</v>
      </c>
      <c r="C15" s="75" t="str">
        <f>IF('DATI LOGICI'!C13&lt;&gt;"",'DATI LOGICI'!C13,"")</f>
        <v>A</v>
      </c>
      <c r="D15" s="75" t="str">
        <f>IF('DATI LOGICI'!D13&lt;&gt;"",'DATI LOGICI'!D13,"")</f>
        <v xml:space="preserve">uint32_t </v>
      </c>
      <c r="E15" s="75" t="str">
        <f>IF('DATI LOGICI'!E13&lt;&gt;"",'DATI LOGICI'!E13,"")</f>
        <v/>
      </c>
      <c r="F15" s="75" t="str">
        <f>IF('DATI LOGICI'!F13&lt;&gt;"",'DATI LOGICI'!F13,"")</f>
        <v/>
      </c>
      <c r="G15" s="75" t="str">
        <f>IF('DATI LOGICI'!G13&lt;&gt;"",'DATI LOGICI'!G13,"")</f>
        <v/>
      </c>
      <c r="H15" s="75" t="str">
        <f>IF('DATI LOGICI'!H13&lt;&gt;"",'DATI LOGICI'!H13,"")</f>
        <v/>
      </c>
      <c r="I15" s="75" t="str">
        <f>IF('DATI LOGICI'!I13&lt;&gt;"",'DATI LOGICI'!I13,"")</f>
        <v>RW</v>
      </c>
      <c r="J15" s="75"/>
      <c r="K15" s="75"/>
      <c r="L15" s="75"/>
      <c r="M15" s="75"/>
      <c r="N15" s="75"/>
      <c r="O15" s="75"/>
      <c r="P15" s="75"/>
      <c r="Q15" s="75"/>
      <c r="R15" s="75"/>
      <c r="S15" s="75"/>
      <c r="T15" s="75"/>
      <c r="U15" s="75"/>
      <c r="V15" s="75"/>
      <c r="W15" s="75"/>
    </row>
    <row r="16" spans="1:23" s="76" customFormat="1" x14ac:dyDescent="0.25">
      <c r="A16" s="75" t="str">
        <f>IF('DATI LOGICI'!A14&lt;&gt;"",'DATI LOGICI'!A14,"")</f>
        <v>Cicli complessivi parziale</v>
      </c>
      <c r="B16" s="75">
        <f>IF('DATI LOGICI'!B14&lt;&gt;"",'DATI LOGICI'!B14,"")</f>
        <v>0</v>
      </c>
      <c r="C16" s="75" t="str">
        <f>IF('DATI LOGICI'!C14&lt;&gt;"",'DATI LOGICI'!C14,"")</f>
        <v>B</v>
      </c>
      <c r="D16" s="75" t="str">
        <f>IF('DATI LOGICI'!D14&lt;&gt;"",'DATI LOGICI'!D14,"")</f>
        <v xml:space="preserve">uint32_t </v>
      </c>
      <c r="E16" s="75" t="str">
        <f>IF('DATI LOGICI'!E14&lt;&gt;"",'DATI LOGICI'!E14,"")</f>
        <v/>
      </c>
      <c r="F16" s="75" t="str">
        <f>IF('DATI LOGICI'!F14&lt;&gt;"",'DATI LOGICI'!F14,"")</f>
        <v/>
      </c>
      <c r="G16" s="75" t="str">
        <f>IF('DATI LOGICI'!G14&lt;&gt;"",'DATI LOGICI'!G14,"")</f>
        <v/>
      </c>
      <c r="H16" s="75" t="str">
        <f>IF('DATI LOGICI'!H14&lt;&gt;"",'DATI LOGICI'!H14,"")</f>
        <v/>
      </c>
      <c r="I16" s="75" t="str">
        <f>IF('DATI LOGICI'!I14&lt;&gt;"",'DATI LOGICI'!I14,"")</f>
        <v>RW</v>
      </c>
      <c r="J16" s="75"/>
      <c r="K16" s="75"/>
      <c r="L16" s="75"/>
      <c r="M16" s="75"/>
      <c r="N16" s="75"/>
      <c r="O16" s="75"/>
      <c r="P16" s="75"/>
      <c r="Q16" s="75"/>
      <c r="R16" s="75"/>
      <c r="S16" s="75"/>
      <c r="T16" s="75"/>
      <c r="U16" s="75"/>
      <c r="V16" s="75"/>
      <c r="W16" s="75"/>
    </row>
    <row r="17" spans="1:23" s="76" customFormat="1" x14ac:dyDescent="0.25">
      <c r="A17" s="75" t="str">
        <f>IF('DATI LOGICI'!A15&lt;&gt;"",'DATI LOGICI'!A15,"")</f>
        <v>Cicli complessivi totale</v>
      </c>
      <c r="B17" s="75">
        <f>IF('DATI LOGICI'!B15&lt;&gt;"",'DATI LOGICI'!B15,"")</f>
        <v>0</v>
      </c>
      <c r="C17" s="75" t="str">
        <f>IF('DATI LOGICI'!C15&lt;&gt;"",'DATI LOGICI'!C15,"")</f>
        <v>C</v>
      </c>
      <c r="D17" s="75" t="str">
        <f>IF('DATI LOGICI'!D15&lt;&gt;"",'DATI LOGICI'!D15,"")</f>
        <v xml:space="preserve">uint32_t </v>
      </c>
      <c r="E17" s="75" t="str">
        <f>IF('DATI LOGICI'!E15&lt;&gt;"",'DATI LOGICI'!E15,"")</f>
        <v/>
      </c>
      <c r="F17" s="75" t="str">
        <f>IF('DATI LOGICI'!F15&lt;&gt;"",'DATI LOGICI'!F15,"")</f>
        <v/>
      </c>
      <c r="G17" s="75" t="str">
        <f>IF('DATI LOGICI'!G15&lt;&gt;"",'DATI LOGICI'!G15,"")</f>
        <v/>
      </c>
      <c r="H17" s="75" t="str">
        <f>IF('DATI LOGICI'!H15&lt;&gt;"",'DATI LOGICI'!H15,"")</f>
        <v/>
      </c>
      <c r="I17" s="75" t="str">
        <f>IF('DATI LOGICI'!I15&lt;&gt;"",'DATI LOGICI'!I15,"")</f>
        <v>RW</v>
      </c>
      <c r="J17" s="75"/>
      <c r="K17" s="75"/>
      <c r="L17" s="75"/>
      <c r="M17" s="75"/>
      <c r="N17" s="75"/>
      <c r="O17" s="75"/>
      <c r="P17" s="75"/>
      <c r="Q17" s="75"/>
      <c r="R17" s="75"/>
      <c r="S17" s="75"/>
      <c r="T17" s="75"/>
      <c r="U17" s="75"/>
      <c r="V17" s="75"/>
      <c r="W17" s="75"/>
    </row>
    <row r="18" spans="1:23" s="76" customFormat="1" x14ac:dyDescent="0.25">
      <c r="A18" s="75" t="str">
        <f>IF('DATI LOGICI'!A16&lt;&gt;"",'DATI LOGICI'!A16,"")</f>
        <v>Cicli completi eseguiti parziale</v>
      </c>
      <c r="B18" s="75">
        <f>IF('DATI LOGICI'!B16&lt;&gt;"",'DATI LOGICI'!B16,"")</f>
        <v>0</v>
      </c>
      <c r="C18" s="75" t="str">
        <f>IF('DATI LOGICI'!C16&lt;&gt;"",'DATI LOGICI'!C16,"")</f>
        <v>D</v>
      </c>
      <c r="D18" s="75" t="str">
        <f>IF('DATI LOGICI'!D16&lt;&gt;"",'DATI LOGICI'!D16,"")</f>
        <v xml:space="preserve">uint32_t </v>
      </c>
      <c r="E18" s="75" t="str">
        <f>IF('DATI LOGICI'!E16&lt;&gt;"",'DATI LOGICI'!E16,"")</f>
        <v/>
      </c>
      <c r="F18" s="75" t="str">
        <f>IF('DATI LOGICI'!F16&lt;&gt;"",'DATI LOGICI'!F16,"")</f>
        <v/>
      </c>
      <c r="G18" s="75" t="str">
        <f>IF('DATI LOGICI'!G16&lt;&gt;"",'DATI LOGICI'!G16,"")</f>
        <v/>
      </c>
      <c r="H18" s="75" t="str">
        <f>IF('DATI LOGICI'!H16&lt;&gt;"",'DATI LOGICI'!H16,"")</f>
        <v/>
      </c>
      <c r="I18" s="75" t="str">
        <f>IF('DATI LOGICI'!I16&lt;&gt;"",'DATI LOGICI'!I16,"")</f>
        <v>RW</v>
      </c>
      <c r="J18" s="75"/>
      <c r="K18" s="75"/>
      <c r="L18" s="75"/>
      <c r="M18" s="75"/>
      <c r="N18" s="75"/>
      <c r="O18" s="75"/>
      <c r="P18" s="75"/>
      <c r="Q18" s="75"/>
      <c r="R18" s="75"/>
      <c r="S18" s="75"/>
      <c r="T18" s="75"/>
      <c r="U18" s="75"/>
      <c r="V18" s="75"/>
      <c r="W18" s="75"/>
    </row>
    <row r="19" spans="1:23" s="76" customFormat="1" x14ac:dyDescent="0.25">
      <c r="A19" s="75" t="str">
        <f>IF('DATI LOGICI'!A17&lt;&gt;"",'DATI LOGICI'!A17,"")</f>
        <v>Cicli completi eseguiti totale</v>
      </c>
      <c r="B19" s="75">
        <f>IF('DATI LOGICI'!B17&lt;&gt;"",'DATI LOGICI'!B17,"")</f>
        <v>0</v>
      </c>
      <c r="C19" s="75" t="str">
        <f>IF('DATI LOGICI'!C17&lt;&gt;"",'DATI LOGICI'!C17,"")</f>
        <v>E</v>
      </c>
      <c r="D19" s="75" t="str">
        <f>IF('DATI LOGICI'!D17&lt;&gt;"",'DATI LOGICI'!D17,"")</f>
        <v xml:space="preserve">uint32_t </v>
      </c>
      <c r="E19" s="75" t="str">
        <f>IF('DATI LOGICI'!E17&lt;&gt;"",'DATI LOGICI'!E17,"")</f>
        <v/>
      </c>
      <c r="F19" s="75" t="str">
        <f>IF('DATI LOGICI'!F17&lt;&gt;"",'DATI LOGICI'!F17,"")</f>
        <v/>
      </c>
      <c r="G19" s="75" t="str">
        <f>IF('DATI LOGICI'!G17&lt;&gt;"",'DATI LOGICI'!G17,"")</f>
        <v/>
      </c>
      <c r="H19" s="75" t="str">
        <f>IF('DATI LOGICI'!H17&lt;&gt;"",'DATI LOGICI'!H17,"")</f>
        <v/>
      </c>
      <c r="I19" s="75" t="str">
        <f>IF('DATI LOGICI'!I17&lt;&gt;"",'DATI LOGICI'!I17,"")</f>
        <v>RW</v>
      </c>
      <c r="J19" s="75"/>
      <c r="K19" s="75"/>
      <c r="L19" s="75"/>
      <c r="M19" s="75"/>
      <c r="N19" s="75"/>
      <c r="O19" s="75"/>
      <c r="P19" s="75"/>
      <c r="Q19" s="75"/>
      <c r="R19" s="75"/>
      <c r="S19" s="75"/>
      <c r="T19" s="75"/>
      <c r="U19" s="75"/>
      <c r="V19" s="75"/>
      <c r="W19" s="75"/>
    </row>
    <row r="20" spans="1:23" s="76" customFormat="1" x14ac:dyDescent="0.25">
      <c r="A20" s="75" t="str">
        <f>IF('DATI LOGICI'!A18&lt;&gt;"",'DATI LOGICI'!A18,"")</f>
        <v>Livello batteria</v>
      </c>
      <c r="B20" s="75">
        <f>IF('DATI LOGICI'!B18&lt;&gt;"",'DATI LOGICI'!B18,"")</f>
        <v>0</v>
      </c>
      <c r="C20" s="75" t="str">
        <f>IF('DATI LOGICI'!C18&lt;&gt;"",'DATI LOGICI'!C18,"")</f>
        <v>F</v>
      </c>
      <c r="D20" s="75" t="str">
        <f>IF('DATI LOGICI'!D18&lt;&gt;"",'DATI LOGICI'!D18,"")</f>
        <v xml:space="preserve">uint16_t </v>
      </c>
      <c r="E20" s="75" t="str">
        <f>IF('DATI LOGICI'!E18&lt;&gt;"",'DATI LOGICI'!E18,"")</f>
        <v/>
      </c>
      <c r="F20" s="75" t="str">
        <f>IF('DATI LOGICI'!F18&lt;&gt;"",'DATI LOGICI'!F18,"")</f>
        <v/>
      </c>
      <c r="G20" s="75" t="str">
        <f>IF('DATI LOGICI'!G18&lt;&gt;"",'DATI LOGICI'!G18,"")</f>
        <v/>
      </c>
      <c r="H20" s="75" t="str">
        <f>IF('DATI LOGICI'!H18&lt;&gt;"",'DATI LOGICI'!H18,"")</f>
        <v/>
      </c>
      <c r="I20" s="75" t="str">
        <f>IF('DATI LOGICI'!I18&lt;&gt;"",'DATI LOGICI'!I18,"")</f>
        <v>R</v>
      </c>
      <c r="J20" s="75"/>
      <c r="K20" s="75"/>
      <c r="L20" s="75"/>
      <c r="M20" s="75"/>
      <c r="N20" s="75"/>
      <c r="O20" s="75"/>
      <c r="P20" s="75"/>
      <c r="Q20" s="75"/>
      <c r="R20" s="75"/>
      <c r="S20" s="75"/>
      <c r="T20" s="75"/>
      <c r="U20" s="75"/>
      <c r="V20" s="75"/>
      <c r="W20" s="75"/>
    </row>
    <row r="21" spans="1:23" s="76" customFormat="1" x14ac:dyDescent="0.25">
      <c r="A21" s="75" t="str">
        <f>IF('DATI LOGICI'!A19&lt;&gt;"",'DATI LOGICI'!A19,"")</f>
        <v>Salute batteria</v>
      </c>
      <c r="B21" s="75">
        <f>IF('DATI LOGICI'!B19&lt;&gt;"",'DATI LOGICI'!B19,"")</f>
        <v>0</v>
      </c>
      <c r="C21" s="75">
        <f>IF('DATI LOGICI'!C19&lt;&gt;"",'DATI LOGICI'!C19,"")</f>
        <v>10</v>
      </c>
      <c r="D21" s="75" t="str">
        <f>IF('DATI LOGICI'!D19&lt;&gt;"",'DATI LOGICI'!D19,"")</f>
        <v xml:space="preserve">uint16_t </v>
      </c>
      <c r="E21" s="75" t="str">
        <f>IF('DATI LOGICI'!E19&lt;&gt;"",'DATI LOGICI'!E19,"")</f>
        <v/>
      </c>
      <c r="F21" s="75" t="str">
        <f>IF('DATI LOGICI'!F19&lt;&gt;"",'DATI LOGICI'!F19,"")</f>
        <v/>
      </c>
      <c r="G21" s="75" t="str">
        <f>IF('DATI LOGICI'!G19&lt;&gt;"",'DATI LOGICI'!G19,"")</f>
        <v/>
      </c>
      <c r="H21" s="75" t="str">
        <f>IF('DATI LOGICI'!H19&lt;&gt;"",'DATI LOGICI'!H19,"")</f>
        <v/>
      </c>
      <c r="I21" s="75" t="str">
        <f>IF('DATI LOGICI'!I19&lt;&gt;"",'DATI LOGICI'!I19,"")</f>
        <v>R</v>
      </c>
      <c r="J21" s="75"/>
      <c r="K21" s="75"/>
      <c r="L21" s="75"/>
      <c r="M21" s="75"/>
      <c r="N21" s="75"/>
      <c r="O21" s="75"/>
      <c r="P21" s="75"/>
      <c r="Q21" s="75"/>
      <c r="R21" s="75"/>
      <c r="S21" s="75"/>
      <c r="T21" s="75"/>
      <c r="U21" s="75"/>
      <c r="V21" s="75"/>
      <c r="W21" s="75"/>
    </row>
    <row r="22" spans="1:23" s="76" customFormat="1" x14ac:dyDescent="0.25">
      <c r="A22" s="75" t="str">
        <f>IF('DATI LOGICI'!A20&lt;&gt;"",'DATI LOGICI'!A20,"")</f>
        <v>Cicli batteria</v>
      </c>
      <c r="B22" s="75">
        <f>IF('DATI LOGICI'!B20&lt;&gt;"",'DATI LOGICI'!B20,"")</f>
        <v>0</v>
      </c>
      <c r="C22" s="75">
        <f>IF('DATI LOGICI'!C20&lt;&gt;"",'DATI LOGICI'!C20,"")</f>
        <v>11</v>
      </c>
      <c r="D22" s="75" t="str">
        <f>IF('DATI LOGICI'!D20&lt;&gt;"",'DATI LOGICI'!D20,"")</f>
        <v xml:space="preserve">uint16_t </v>
      </c>
      <c r="E22" s="75" t="str">
        <f>IF('DATI LOGICI'!E20&lt;&gt;"",'DATI LOGICI'!E20,"")</f>
        <v/>
      </c>
      <c r="F22" s="75" t="str">
        <f>IF('DATI LOGICI'!F20&lt;&gt;"",'DATI LOGICI'!F20,"")</f>
        <v/>
      </c>
      <c r="G22" s="75" t="str">
        <f>IF('DATI LOGICI'!G20&lt;&gt;"",'DATI LOGICI'!G20,"")</f>
        <v/>
      </c>
      <c r="H22" s="75" t="str">
        <f>IF('DATI LOGICI'!H20&lt;&gt;"",'DATI LOGICI'!H20,"")</f>
        <v/>
      </c>
      <c r="I22" s="75" t="str">
        <f>IF('DATI LOGICI'!I20&lt;&gt;"",'DATI LOGICI'!I20,"")</f>
        <v>R</v>
      </c>
      <c r="J22" s="75"/>
      <c r="K22" s="75"/>
      <c r="L22" s="75"/>
      <c r="M22" s="75"/>
      <c r="N22" s="75"/>
      <c r="O22" s="75"/>
      <c r="P22" s="75"/>
      <c r="Q22" s="75"/>
      <c r="R22" s="75"/>
      <c r="S22" s="75"/>
      <c r="T22" s="75"/>
      <c r="U22" s="75"/>
      <c r="V22" s="75"/>
      <c r="W22" s="75"/>
    </row>
    <row r="23" spans="1:23" s="76" customFormat="1" x14ac:dyDescent="0.25">
      <c r="A23" s="75" t="str">
        <f>IF('DATI LOGICI'!A21&lt;&gt;"",'DATI LOGICI'!A21,"")</f>
        <v>Temperatura batteria</v>
      </c>
      <c r="B23" s="75">
        <f>IF('DATI LOGICI'!B21&lt;&gt;"",'DATI LOGICI'!B21,"")</f>
        <v>0</v>
      </c>
      <c r="C23" s="75">
        <f>IF('DATI LOGICI'!C21&lt;&gt;"",'DATI LOGICI'!C21,"")</f>
        <v>12</v>
      </c>
      <c r="D23" s="75" t="str">
        <f>IF('DATI LOGICI'!D21&lt;&gt;"",'DATI LOGICI'!D21,"")</f>
        <v>int16_t</v>
      </c>
      <c r="E23" s="75" t="str">
        <f>IF('DATI LOGICI'!E21&lt;&gt;"",'DATI LOGICI'!E21,"")</f>
        <v/>
      </c>
      <c r="F23" s="75" t="str">
        <f>IF('DATI LOGICI'!F21&lt;&gt;"",'DATI LOGICI'!F21,"")</f>
        <v/>
      </c>
      <c r="G23" s="75" t="str">
        <f>IF('DATI LOGICI'!G21&lt;&gt;"",'DATI LOGICI'!G21,"")</f>
        <v/>
      </c>
      <c r="H23" s="75" t="str">
        <f>IF('DATI LOGICI'!H21&lt;&gt;"",'DATI LOGICI'!H21,"")</f>
        <v/>
      </c>
      <c r="I23" s="75" t="str">
        <f>IF('DATI LOGICI'!I21&lt;&gt;"",'DATI LOGICI'!I21,"")</f>
        <v>R</v>
      </c>
      <c r="J23" s="75"/>
      <c r="K23" s="75"/>
      <c r="L23" s="75"/>
      <c r="M23" s="75"/>
      <c r="N23" s="75"/>
      <c r="O23" s="75"/>
      <c r="P23" s="75"/>
      <c r="Q23" s="75"/>
      <c r="R23" s="75"/>
      <c r="S23" s="75"/>
      <c r="T23" s="75"/>
      <c r="U23" s="75"/>
      <c r="V23" s="75"/>
      <c r="W23" s="75"/>
    </row>
    <row r="24" spans="1:23" s="76" customFormat="1" x14ac:dyDescent="0.25">
      <c r="A24" s="75" t="str">
        <f>IF('DATI LOGICI'!A22&lt;&gt;"",'DATI LOGICI'!A22,"")</f>
        <v>BatteryFirmware</v>
      </c>
      <c r="B24" s="75">
        <f>IF('DATI LOGICI'!B22&lt;&gt;"",'DATI LOGICI'!B22,"")</f>
        <v>0</v>
      </c>
      <c r="C24" s="75">
        <f>IF('DATI LOGICI'!C22&lt;&gt;"",'DATI LOGICI'!C22,"")</f>
        <v>13</v>
      </c>
      <c r="D24" s="75" t="str">
        <f>IF('DATI LOGICI'!D22&lt;&gt;"",'DATI LOGICI'!D22,"")</f>
        <v>uint32_t</v>
      </c>
      <c r="E24" s="75" t="str">
        <f>IF('DATI LOGICI'!E22&lt;&gt;"",'DATI LOGICI'!E22,"")</f>
        <v/>
      </c>
      <c r="F24" s="75" t="str">
        <f>IF('DATI LOGICI'!F22&lt;&gt;"",'DATI LOGICI'!F22,"")</f>
        <v/>
      </c>
      <c r="G24" s="75" t="str">
        <f>IF('DATI LOGICI'!G22&lt;&gt;"",'DATI LOGICI'!G22,"")</f>
        <v/>
      </c>
      <c r="H24" s="75" t="str">
        <f>IF('DATI LOGICI'!H22&lt;&gt;"",'DATI LOGICI'!H22,"")</f>
        <v/>
      </c>
      <c r="I24" s="75" t="str">
        <f>IF('DATI LOGICI'!I22&lt;&gt;"",'DATI LOGICI'!I22,"")</f>
        <v>R</v>
      </c>
      <c r="J24" s="75"/>
      <c r="K24" s="75"/>
      <c r="L24" s="75"/>
      <c r="M24" s="75"/>
      <c r="N24" s="75"/>
      <c r="O24" s="75"/>
      <c r="P24" s="75"/>
      <c r="Q24" s="75"/>
      <c r="R24" s="75"/>
      <c r="S24" s="75"/>
      <c r="T24" s="75"/>
      <c r="U24" s="75"/>
      <c r="V24" s="75"/>
      <c r="W24" s="75"/>
    </row>
    <row r="25" spans="1:23" s="76" customFormat="1" x14ac:dyDescent="0.25">
      <c r="A25" s="75" t="str">
        <f>IF('DATI LOGICI'!A23&lt;&gt;"",'DATI LOGICI'!A23,"")</f>
        <v>BatterySerial</v>
      </c>
      <c r="B25" s="75">
        <f>IF('DATI LOGICI'!B23&lt;&gt;"",'DATI LOGICI'!B23,"")</f>
        <v>0</v>
      </c>
      <c r="C25" s="75">
        <f>IF('DATI LOGICI'!C23&lt;&gt;"",'DATI LOGICI'!C23,"")</f>
        <v>14</v>
      </c>
      <c r="D25" s="75" t="str">
        <f>IF('DATI LOGICI'!D23&lt;&gt;"",'DATI LOGICI'!D23,"")</f>
        <v xml:space="preserve">uint32_t </v>
      </c>
      <c r="E25" s="75" t="str">
        <f>IF('DATI LOGICI'!E23&lt;&gt;"",'DATI LOGICI'!E23,"")</f>
        <v/>
      </c>
      <c r="F25" s="75" t="str">
        <f>IF('DATI LOGICI'!F23&lt;&gt;"",'DATI LOGICI'!F23,"")</f>
        <v/>
      </c>
      <c r="G25" s="75" t="str">
        <f>IF('DATI LOGICI'!G23&lt;&gt;"",'DATI LOGICI'!G23,"")</f>
        <v/>
      </c>
      <c r="H25" s="75" t="str">
        <f>IF('DATI LOGICI'!H23&lt;&gt;"",'DATI LOGICI'!H23,"")</f>
        <v/>
      </c>
      <c r="I25" s="75" t="str">
        <f>IF('DATI LOGICI'!I23&lt;&gt;"",'DATI LOGICI'!I23,"")</f>
        <v>R</v>
      </c>
      <c r="J25" s="75"/>
      <c r="K25" s="75"/>
      <c r="L25" s="75"/>
      <c r="M25" s="75"/>
      <c r="N25" s="75"/>
      <c r="O25" s="75"/>
      <c r="P25" s="75"/>
      <c r="Q25" s="75"/>
      <c r="R25" s="75"/>
      <c r="S25" s="75"/>
      <c r="T25" s="75"/>
      <c r="U25" s="75"/>
      <c r="V25" s="75"/>
      <c r="W25" s="75"/>
    </row>
    <row r="26" spans="1:23" s="76" customFormat="1" x14ac:dyDescent="0.25">
      <c r="A26" s="77" t="str">
        <f>IF('DATI LOGICI'!A24&lt;&gt;"",'DATI LOGICI'!A24,"")</f>
        <v>Stato ingressi fisici</v>
      </c>
      <c r="B26" s="75">
        <f>IF('DATI LOGICI'!B24&lt;&gt;"",'DATI LOGICI'!B24,"")</f>
        <v>0</v>
      </c>
      <c r="C26" s="75">
        <f>IF('DATI LOGICI'!C24&lt;&gt;"",'DATI LOGICI'!C24,"")</f>
        <v>15</v>
      </c>
      <c r="D26" s="75" t="str">
        <f>IF('DATI LOGICI'!D24&lt;&gt;"",'DATI LOGICI'!D24,"")</f>
        <v xml:space="preserve">uint32_t </v>
      </c>
      <c r="E26" s="75" t="str">
        <f>IF('DATI LOGICI'!E24&lt;&gt;"",'DATI LOGICI'!E24,"")</f>
        <v/>
      </c>
      <c r="F26" s="75" t="str">
        <f>IF('DATI LOGICI'!F24&lt;&gt;"",'DATI LOGICI'!F24,"")</f>
        <v/>
      </c>
      <c r="G26" s="75" t="str">
        <f>IF('DATI LOGICI'!G24&lt;&gt;"",'DATI LOGICI'!G24,"")</f>
        <v/>
      </c>
      <c r="H26" s="75" t="str">
        <f>IF('DATI LOGICI'!H24&lt;&gt;"",'DATI LOGICI'!H24,"")</f>
        <v/>
      </c>
      <c r="I26" s="75" t="str">
        <f>IF('DATI LOGICI'!I24&lt;&gt;"",'DATI LOGICI'!I24,"")</f>
        <v>R</v>
      </c>
      <c r="J26" s="75"/>
      <c r="K26" s="75"/>
      <c r="L26" s="75"/>
      <c r="M26" s="75"/>
      <c r="N26" s="75"/>
      <c r="O26" s="75"/>
      <c r="P26" s="75"/>
      <c r="Q26" s="75"/>
      <c r="R26" s="75"/>
      <c r="S26" s="75"/>
      <c r="T26" s="75"/>
      <c r="U26" s="75"/>
      <c r="V26" s="75"/>
      <c r="W26" s="75"/>
    </row>
    <row r="27" spans="1:23" s="76" customFormat="1" x14ac:dyDescent="0.25">
      <c r="A27" s="77" t="str">
        <f>IF('DATI LOGICI'!A25&lt;&gt;"",'DATI LOGICI'!A25,"")</f>
        <v>Stato uscite fisiche</v>
      </c>
      <c r="B27" s="75">
        <f>IF('DATI LOGICI'!B25&lt;&gt;"",'DATI LOGICI'!B25,"")</f>
        <v>0</v>
      </c>
      <c r="C27" s="75">
        <f>IF('DATI LOGICI'!C25&lt;&gt;"",'DATI LOGICI'!C25,"")</f>
        <v>16</v>
      </c>
      <c r="D27" s="75" t="str">
        <f>IF('DATI LOGICI'!D25&lt;&gt;"",'DATI LOGICI'!D25,"")</f>
        <v xml:space="preserve">uint32_t </v>
      </c>
      <c r="E27" s="75" t="str">
        <f>IF('DATI LOGICI'!E25&lt;&gt;"",'DATI LOGICI'!E25,"")</f>
        <v/>
      </c>
      <c r="F27" s="75" t="str">
        <f>IF('DATI LOGICI'!F25&lt;&gt;"",'DATI LOGICI'!F25,"")</f>
        <v/>
      </c>
      <c r="G27" s="75" t="str">
        <f>IF('DATI LOGICI'!G25&lt;&gt;"",'DATI LOGICI'!G25,"")</f>
        <v/>
      </c>
      <c r="H27" s="75" t="str">
        <f>IF('DATI LOGICI'!H25&lt;&gt;"",'DATI LOGICI'!H25,"")</f>
        <v/>
      </c>
      <c r="I27" s="75" t="str">
        <f>IF('DATI LOGICI'!I25&lt;&gt;"",'DATI LOGICI'!I25,"")</f>
        <v>R</v>
      </c>
      <c r="J27" s="75"/>
      <c r="K27" s="75"/>
      <c r="L27" s="75"/>
      <c r="M27" s="75"/>
      <c r="N27" s="75"/>
      <c r="O27" s="75"/>
      <c r="P27" s="75"/>
      <c r="Q27" s="75"/>
      <c r="R27" s="75"/>
      <c r="S27" s="75"/>
      <c r="T27" s="75"/>
      <c r="U27" s="75"/>
      <c r="V27" s="75"/>
      <c r="W27" s="75"/>
    </row>
    <row r="28" spans="1:23" s="76" customFormat="1" x14ac:dyDescent="0.25">
      <c r="A28" s="75" t="str">
        <f>IF('DATI LOGICI'!A26&lt;&gt;"",'DATI LOGICI'!A26,"")</f>
        <v>Firmware Bootloader</v>
      </c>
      <c r="B28" s="75">
        <f>IF('DATI LOGICI'!B26&lt;&gt;"",'DATI LOGICI'!B26,"")</f>
        <v>0</v>
      </c>
      <c r="C28" s="75">
        <f>IF('DATI LOGICI'!C26&lt;&gt;"",'DATI LOGICI'!C26,"")</f>
        <v>17</v>
      </c>
      <c r="D28" s="75" t="str">
        <f>IF('DATI LOGICI'!D26&lt;&gt;"",'DATI LOGICI'!D26,"")</f>
        <v xml:space="preserve">uint16_t </v>
      </c>
      <c r="E28" s="75" t="str">
        <f>IF('DATI LOGICI'!E26&lt;&gt;"",'DATI LOGICI'!E26,"")</f>
        <v>255.255</v>
      </c>
      <c r="F28" s="75">
        <f>IF('DATI LOGICI'!F26&lt;&gt;"",'DATI LOGICI'!F26,"")</f>
        <v>0</v>
      </c>
      <c r="G28" s="75" t="str">
        <f>IF('DATI LOGICI'!G26&lt;&gt;"",'DATI LOGICI'!G26,"")</f>
        <v>255.255</v>
      </c>
      <c r="H28" s="75" t="str">
        <f>IF('DATI LOGICI'!H26&lt;&gt;"",'DATI LOGICI'!H26,"")</f>
        <v/>
      </c>
      <c r="I28" s="75" t="str">
        <f>IF('DATI LOGICI'!I26&lt;&gt;"",'DATI LOGICI'!I26,"")</f>
        <v>R</v>
      </c>
      <c r="J28" s="75"/>
      <c r="K28" s="75"/>
      <c r="L28" s="75"/>
      <c r="M28" s="75"/>
      <c r="N28" s="75"/>
      <c r="O28" s="75"/>
      <c r="P28" s="75"/>
      <c r="Q28" s="75"/>
      <c r="R28" s="75"/>
      <c r="S28" s="75"/>
      <c r="T28" s="75"/>
      <c r="U28" s="75"/>
      <c r="V28" s="75"/>
      <c r="W28" s="75"/>
    </row>
    <row r="29" spans="1:23" s="76" customFormat="1" x14ac:dyDescent="0.25">
      <c r="A29" s="75" t="str">
        <f>IF('DATI LOGICI'!A27&lt;&gt;"",'DATI LOGICI'!A27,"")</f>
        <v/>
      </c>
      <c r="B29" s="75" t="str">
        <f>IF('DATI LOGICI'!B27&lt;&gt;"",'DATI LOGICI'!B27,"")</f>
        <v/>
      </c>
      <c r="C29" s="75" t="str">
        <f>IF('DATI LOGICI'!C27&lt;&gt;"",'DATI LOGICI'!C27,"")</f>
        <v/>
      </c>
      <c r="D29" s="75" t="str">
        <f>IF('DATI LOGICI'!D27&lt;&gt;"",'DATI LOGICI'!D27,"")</f>
        <v/>
      </c>
      <c r="E29" s="75" t="str">
        <f>IF('DATI LOGICI'!E27&lt;&gt;"",'DATI LOGICI'!E27,"")</f>
        <v/>
      </c>
      <c r="F29" s="75" t="str">
        <f>IF('DATI LOGICI'!F27&lt;&gt;"",'DATI LOGICI'!F27,"")</f>
        <v/>
      </c>
      <c r="G29" s="75" t="str">
        <f>IF('DATI LOGICI'!G27&lt;&gt;"",'DATI LOGICI'!G27,"")</f>
        <v/>
      </c>
      <c r="H29" s="75" t="str">
        <f>IF('DATI LOGICI'!H27&lt;&gt;"",'DATI LOGICI'!H27,"")</f>
        <v/>
      </c>
      <c r="I29" s="75" t="str">
        <f>IF('DATI LOGICI'!I27&lt;&gt;"",'DATI LOGICI'!I27,"")</f>
        <v/>
      </c>
      <c r="J29" s="75"/>
      <c r="K29" s="75"/>
      <c r="L29" s="75"/>
      <c r="M29" s="75"/>
      <c r="N29" s="75"/>
      <c r="O29" s="75"/>
      <c r="P29" s="75"/>
      <c r="Q29" s="75"/>
      <c r="R29" s="75"/>
      <c r="S29" s="75"/>
      <c r="T29" s="75"/>
      <c r="U29" s="75"/>
      <c r="V29" s="75"/>
      <c r="W29" s="75"/>
    </row>
    <row r="30" spans="1:23" s="76" customFormat="1" x14ac:dyDescent="0.25">
      <c r="A30" s="75" t="str">
        <f>IF('DATI LOGICI'!A28&lt;&gt;"",'DATI LOGICI'!A28,"")</f>
        <v/>
      </c>
      <c r="B30" s="75" t="str">
        <f>IF('DATI LOGICI'!B28&lt;&gt;"",'DATI LOGICI'!B28,"")</f>
        <v/>
      </c>
      <c r="C30" s="75" t="str">
        <f>IF('DATI LOGICI'!C28&lt;&gt;"",'DATI LOGICI'!C28,"")</f>
        <v/>
      </c>
      <c r="D30" s="75" t="str">
        <f>IF('DATI LOGICI'!D28&lt;&gt;"",'DATI LOGICI'!D28,"")</f>
        <v/>
      </c>
      <c r="E30" s="75" t="str">
        <f>IF('DATI LOGICI'!E28&lt;&gt;"",'DATI LOGICI'!E28,"")</f>
        <v/>
      </c>
      <c r="F30" s="75" t="str">
        <f>IF('DATI LOGICI'!F28&lt;&gt;"",'DATI LOGICI'!F28,"")</f>
        <v/>
      </c>
      <c r="G30" s="75" t="str">
        <f>IF('DATI LOGICI'!G28&lt;&gt;"",'DATI LOGICI'!G28,"")</f>
        <v/>
      </c>
      <c r="H30" s="75" t="str">
        <f>IF('DATI LOGICI'!H28&lt;&gt;"",'DATI LOGICI'!H28,"")</f>
        <v/>
      </c>
      <c r="I30" s="75" t="str">
        <f>IF('DATI LOGICI'!I28&lt;&gt;"",'DATI LOGICI'!I28,"")</f>
        <v/>
      </c>
      <c r="J30" s="75"/>
      <c r="K30" s="75"/>
      <c r="L30" s="75"/>
      <c r="M30" s="75"/>
      <c r="N30" s="75"/>
      <c r="O30" s="75"/>
      <c r="P30" s="75"/>
      <c r="Q30" s="75"/>
      <c r="R30" s="75"/>
      <c r="S30" s="75"/>
      <c r="T30" s="75"/>
      <c r="U30" s="75"/>
      <c r="V30" s="75"/>
      <c r="W30" s="75"/>
    </row>
    <row r="31" spans="1:23" s="76" customFormat="1" x14ac:dyDescent="0.25">
      <c r="A31" s="75" t="str">
        <f>IF('DATI LOGICI'!A29&lt;&gt;"",'DATI LOGICI'!A29,"")</f>
        <v/>
      </c>
      <c r="B31" s="75" t="str">
        <f>IF('DATI LOGICI'!B29&lt;&gt;"",'DATI LOGICI'!B29,"")</f>
        <v/>
      </c>
      <c r="C31" s="75" t="str">
        <f>IF('DATI LOGICI'!C29&lt;&gt;"",'DATI LOGICI'!C29,"")</f>
        <v/>
      </c>
      <c r="D31" s="75" t="str">
        <f>IF('DATI LOGICI'!D29&lt;&gt;"",'DATI LOGICI'!D29,"")</f>
        <v/>
      </c>
      <c r="E31" s="75" t="str">
        <f>IF('DATI LOGICI'!E29&lt;&gt;"",'DATI LOGICI'!E29,"")</f>
        <v/>
      </c>
      <c r="F31" s="75" t="str">
        <f>IF('DATI LOGICI'!F29&lt;&gt;"",'DATI LOGICI'!F29,"")</f>
        <v/>
      </c>
      <c r="G31" s="75" t="str">
        <f>IF('DATI LOGICI'!G29&lt;&gt;"",'DATI LOGICI'!G29,"")</f>
        <v/>
      </c>
      <c r="H31" s="75" t="str">
        <f>IF('DATI LOGICI'!H29&lt;&gt;"",'DATI LOGICI'!H29,"")</f>
        <v/>
      </c>
      <c r="I31" s="75" t="str">
        <f>IF('DATI LOGICI'!I29&lt;&gt;"",'DATI LOGICI'!I29,"")</f>
        <v/>
      </c>
      <c r="J31" s="75"/>
      <c r="K31" s="75"/>
      <c r="L31" s="75"/>
      <c r="M31" s="75"/>
      <c r="N31" s="75"/>
      <c r="O31" s="75"/>
      <c r="P31" s="75"/>
      <c r="Q31" s="75"/>
      <c r="R31" s="75"/>
      <c r="S31" s="75"/>
      <c r="T31" s="75"/>
      <c r="U31" s="75"/>
      <c r="V31" s="75"/>
      <c r="W31" s="75"/>
    </row>
    <row r="32" spans="1:23" s="76" customFormat="1" x14ac:dyDescent="0.25">
      <c r="A32" s="75" t="str">
        <f>IF('DATI LOGICI'!A30&lt;&gt;"",'DATI LOGICI'!A30,"")</f>
        <v/>
      </c>
      <c r="B32" s="75" t="str">
        <f>IF('DATI LOGICI'!B30&lt;&gt;"",'DATI LOGICI'!B30,"")</f>
        <v/>
      </c>
      <c r="C32" s="75" t="str">
        <f>IF('DATI LOGICI'!C30&lt;&gt;"",'DATI LOGICI'!C30,"")</f>
        <v/>
      </c>
      <c r="D32" s="75" t="str">
        <f>IF('DATI LOGICI'!D30&lt;&gt;"",'DATI LOGICI'!D30,"")</f>
        <v/>
      </c>
      <c r="E32" s="75" t="str">
        <f>IF('DATI LOGICI'!E30&lt;&gt;"",'DATI LOGICI'!E30,"")</f>
        <v/>
      </c>
      <c r="F32" s="75" t="str">
        <f>IF('DATI LOGICI'!F30&lt;&gt;"",'DATI LOGICI'!F30,"")</f>
        <v/>
      </c>
      <c r="G32" s="75" t="str">
        <f>IF('DATI LOGICI'!G30&lt;&gt;"",'DATI LOGICI'!G30,"")</f>
        <v/>
      </c>
      <c r="H32" s="75" t="str">
        <f>IF('DATI LOGICI'!H30&lt;&gt;"",'DATI LOGICI'!H30,"")</f>
        <v/>
      </c>
      <c r="I32" s="75" t="str">
        <f>IF('DATI LOGICI'!I30&lt;&gt;"",'DATI LOGICI'!I30,"")</f>
        <v/>
      </c>
      <c r="J32" s="75"/>
      <c r="K32" s="75"/>
      <c r="L32" s="75"/>
      <c r="M32" s="75"/>
      <c r="N32" s="75"/>
      <c r="O32" s="75"/>
      <c r="P32" s="75"/>
      <c r="Q32" s="75"/>
      <c r="R32" s="75"/>
      <c r="S32" s="75"/>
      <c r="T32" s="75"/>
      <c r="U32" s="75"/>
      <c r="V32" s="75"/>
      <c r="W32" s="75"/>
    </row>
    <row r="33" spans="1:23" s="76" customFormat="1" x14ac:dyDescent="0.25">
      <c r="A33" s="75" t="str">
        <f>IF('DATI LOGICI'!A31&lt;&gt;"",'DATI LOGICI'!A31,"")</f>
        <v/>
      </c>
      <c r="B33" s="75" t="str">
        <f>IF('DATI LOGICI'!B31&lt;&gt;"",'DATI LOGICI'!B31,"")</f>
        <v/>
      </c>
      <c r="C33" s="75" t="str">
        <f>IF('DATI LOGICI'!C31&lt;&gt;"",'DATI LOGICI'!C31,"")</f>
        <v/>
      </c>
      <c r="D33" s="75" t="str">
        <f>IF('DATI LOGICI'!D31&lt;&gt;"",'DATI LOGICI'!D31,"")</f>
        <v/>
      </c>
      <c r="E33" s="75" t="str">
        <f>IF('DATI LOGICI'!E31&lt;&gt;"",'DATI LOGICI'!E31,"")</f>
        <v/>
      </c>
      <c r="F33" s="75" t="str">
        <f>IF('DATI LOGICI'!F31&lt;&gt;"",'DATI LOGICI'!F31,"")</f>
        <v/>
      </c>
      <c r="G33" s="75" t="str">
        <f>IF('DATI LOGICI'!G31&lt;&gt;"",'DATI LOGICI'!G31,"")</f>
        <v/>
      </c>
      <c r="H33" s="75" t="str">
        <f>IF('DATI LOGICI'!H31&lt;&gt;"",'DATI LOGICI'!H31,"")</f>
        <v/>
      </c>
      <c r="I33" s="75" t="str">
        <f>IF('DATI LOGICI'!I31&lt;&gt;"",'DATI LOGICI'!I31,"")</f>
        <v/>
      </c>
      <c r="J33" s="75"/>
      <c r="K33" s="75"/>
      <c r="L33" s="75"/>
      <c r="M33" s="75"/>
      <c r="N33" s="75"/>
      <c r="O33" s="75"/>
      <c r="P33" s="75"/>
      <c r="Q33" s="75"/>
      <c r="R33" s="75"/>
      <c r="S33" s="75"/>
      <c r="T33" s="75"/>
      <c r="U33" s="75"/>
      <c r="V33" s="75"/>
      <c r="W33" s="75"/>
    </row>
    <row r="34" spans="1:23" s="76" customFormat="1" x14ac:dyDescent="0.25">
      <c r="A34" s="75" t="str">
        <f>IF('DATI LOGICI'!A32&lt;&gt;"",'DATI LOGICI'!A32,"")</f>
        <v/>
      </c>
      <c r="B34" s="75" t="str">
        <f>IF('DATI LOGICI'!B32&lt;&gt;"",'DATI LOGICI'!B32,"")</f>
        <v/>
      </c>
      <c r="C34" s="75" t="str">
        <f>IF('DATI LOGICI'!C32&lt;&gt;"",'DATI LOGICI'!C32,"")</f>
        <v/>
      </c>
      <c r="D34" s="75" t="str">
        <f>IF('DATI LOGICI'!D32&lt;&gt;"",'DATI LOGICI'!D32,"")</f>
        <v/>
      </c>
      <c r="E34" s="75" t="str">
        <f>IF('DATI LOGICI'!E32&lt;&gt;"",'DATI LOGICI'!E32,"")</f>
        <v/>
      </c>
      <c r="F34" s="75" t="str">
        <f>IF('DATI LOGICI'!F32&lt;&gt;"",'DATI LOGICI'!F32,"")</f>
        <v/>
      </c>
      <c r="G34" s="75" t="str">
        <f>IF('DATI LOGICI'!G32&lt;&gt;"",'DATI LOGICI'!G32,"")</f>
        <v/>
      </c>
      <c r="H34" s="75" t="str">
        <f>IF('DATI LOGICI'!H32&lt;&gt;"",'DATI LOGICI'!H32,"")</f>
        <v/>
      </c>
      <c r="I34" s="75" t="str">
        <f>IF('DATI LOGICI'!I32&lt;&gt;"",'DATI LOGICI'!I32,"")</f>
        <v/>
      </c>
      <c r="J34" s="75"/>
      <c r="K34" s="75"/>
      <c r="L34" s="75"/>
      <c r="M34" s="75"/>
      <c r="N34" s="75"/>
      <c r="O34" s="75"/>
      <c r="P34" s="75"/>
      <c r="Q34" s="75"/>
      <c r="R34" s="75"/>
      <c r="S34" s="75"/>
      <c r="T34" s="75"/>
      <c r="U34" s="75"/>
      <c r="V34" s="75"/>
      <c r="W34" s="75"/>
    </row>
    <row r="35" spans="1:23" s="76" customFormat="1" x14ac:dyDescent="0.25">
      <c r="A35" s="75" t="str">
        <f>IF('DATI LOGICI'!A33&lt;&gt;"",'DATI LOGICI'!A33,"")</f>
        <v/>
      </c>
      <c r="B35" s="75" t="str">
        <f>IF('DATI LOGICI'!B33&lt;&gt;"",'DATI LOGICI'!B33,"")</f>
        <v/>
      </c>
      <c r="C35" s="75" t="str">
        <f>IF('DATI LOGICI'!C33&lt;&gt;"",'DATI LOGICI'!C33,"")</f>
        <v/>
      </c>
      <c r="D35" s="75" t="str">
        <f>IF('DATI LOGICI'!D33&lt;&gt;"",'DATI LOGICI'!D33,"")</f>
        <v/>
      </c>
      <c r="E35" s="75" t="str">
        <f>IF('DATI LOGICI'!E33&lt;&gt;"",'DATI LOGICI'!E33,"")</f>
        <v/>
      </c>
      <c r="F35" s="75" t="str">
        <f>IF('DATI LOGICI'!F33&lt;&gt;"",'DATI LOGICI'!F33,"")</f>
        <v/>
      </c>
      <c r="G35" s="75" t="str">
        <f>IF('DATI LOGICI'!G33&lt;&gt;"",'DATI LOGICI'!G33,"")</f>
        <v/>
      </c>
      <c r="H35" s="75" t="str">
        <f>IF('DATI LOGICI'!H33&lt;&gt;"",'DATI LOGICI'!H33,"")</f>
        <v/>
      </c>
      <c r="I35" s="75" t="str">
        <f>IF('DATI LOGICI'!I33&lt;&gt;"",'DATI LOGICI'!I33,"")</f>
        <v/>
      </c>
      <c r="J35" s="75"/>
      <c r="K35" s="75"/>
      <c r="L35" s="75"/>
      <c r="M35" s="75"/>
      <c r="N35" s="75"/>
      <c r="O35" s="75"/>
      <c r="P35" s="75"/>
      <c r="Q35" s="75"/>
      <c r="R35" s="75"/>
      <c r="S35" s="75"/>
      <c r="T35" s="75"/>
      <c r="U35" s="75"/>
      <c r="V35" s="75"/>
      <c r="W35" s="75"/>
    </row>
    <row r="36" spans="1:23" s="76" customFormat="1" x14ac:dyDescent="0.25">
      <c r="A36" s="75" t="str">
        <f>IF('DATI LOGICI'!A34&lt;&gt;"",'DATI LOGICI'!A34,"")</f>
        <v/>
      </c>
      <c r="B36" s="75" t="str">
        <f>IF('DATI LOGICI'!B34&lt;&gt;"",'DATI LOGICI'!B34,"")</f>
        <v/>
      </c>
      <c r="C36" s="75" t="str">
        <f>IF('DATI LOGICI'!C34&lt;&gt;"",'DATI LOGICI'!C34,"")</f>
        <v/>
      </c>
      <c r="D36" s="75" t="str">
        <f>IF('DATI LOGICI'!D34&lt;&gt;"",'DATI LOGICI'!D34,"")</f>
        <v/>
      </c>
      <c r="E36" s="75" t="str">
        <f>IF('DATI LOGICI'!E34&lt;&gt;"",'DATI LOGICI'!E34,"")</f>
        <v/>
      </c>
      <c r="F36" s="75" t="str">
        <f>IF('DATI LOGICI'!F34&lt;&gt;"",'DATI LOGICI'!F34,"")</f>
        <v/>
      </c>
      <c r="G36" s="75" t="str">
        <f>IF('DATI LOGICI'!G34&lt;&gt;"",'DATI LOGICI'!G34,"")</f>
        <v/>
      </c>
      <c r="H36" s="75" t="str">
        <f>IF('DATI LOGICI'!H34&lt;&gt;"",'DATI LOGICI'!H34,"")</f>
        <v/>
      </c>
      <c r="I36" s="75" t="str">
        <f>IF('DATI LOGICI'!I34&lt;&gt;"",'DATI LOGICI'!I34,"")</f>
        <v/>
      </c>
      <c r="J36" s="75"/>
      <c r="K36" s="75"/>
      <c r="L36" s="75"/>
      <c r="M36" s="75"/>
      <c r="N36" s="75"/>
      <c r="O36" s="75"/>
      <c r="P36" s="75"/>
      <c r="Q36" s="75"/>
      <c r="R36" s="75"/>
      <c r="S36" s="75"/>
      <c r="T36" s="75"/>
      <c r="U36" s="75"/>
      <c r="V36" s="75"/>
      <c r="W36" s="75"/>
    </row>
    <row r="37" spans="1:23" s="76" customFormat="1" x14ac:dyDescent="0.25">
      <c r="A37" s="75" t="str">
        <f>IF('DATI LOGICI'!A35&lt;&gt;"",'DATI LOGICI'!A35,"")</f>
        <v/>
      </c>
      <c r="B37" s="75" t="str">
        <f>IF('DATI LOGICI'!B35&lt;&gt;"",'DATI LOGICI'!B35,"")</f>
        <v/>
      </c>
      <c r="C37" s="75" t="str">
        <f>IF('DATI LOGICI'!C35&lt;&gt;"",'DATI LOGICI'!C35,"")</f>
        <v/>
      </c>
      <c r="D37" s="75" t="str">
        <f>IF('DATI LOGICI'!D35&lt;&gt;"",'DATI LOGICI'!D35,"")</f>
        <v/>
      </c>
      <c r="E37" s="75" t="str">
        <f>IF('DATI LOGICI'!E35&lt;&gt;"",'DATI LOGICI'!E35,"")</f>
        <v/>
      </c>
      <c r="F37" s="75" t="str">
        <f>IF('DATI LOGICI'!F35&lt;&gt;"",'DATI LOGICI'!F35,"")</f>
        <v/>
      </c>
      <c r="G37" s="75" t="str">
        <f>IF('DATI LOGICI'!G35&lt;&gt;"",'DATI LOGICI'!G35,"")</f>
        <v/>
      </c>
      <c r="H37" s="75" t="str">
        <f>IF('DATI LOGICI'!H35&lt;&gt;"",'DATI LOGICI'!H35,"")</f>
        <v/>
      </c>
      <c r="I37" s="75" t="str">
        <f>IF('DATI LOGICI'!I35&lt;&gt;"",'DATI LOGICI'!I35,"")</f>
        <v/>
      </c>
      <c r="J37" s="75"/>
      <c r="K37" s="75"/>
      <c r="L37" s="75"/>
      <c r="M37" s="75"/>
      <c r="N37" s="75"/>
      <c r="O37" s="75"/>
      <c r="P37" s="75"/>
      <c r="Q37" s="75"/>
      <c r="R37" s="75"/>
      <c r="S37" s="75"/>
      <c r="T37" s="75"/>
      <c r="U37" s="75"/>
      <c r="V37" s="75"/>
      <c r="W37" s="75"/>
    </row>
    <row r="38" spans="1:23" s="76" customFormat="1" x14ac:dyDescent="0.25">
      <c r="A38" s="75" t="str">
        <f>IF('DATI LOGICI'!A36&lt;&gt;"",'DATI LOGICI'!A36,"")</f>
        <v/>
      </c>
      <c r="B38" s="75" t="str">
        <f>IF('DATI LOGICI'!B36&lt;&gt;"",'DATI LOGICI'!B36,"")</f>
        <v/>
      </c>
      <c r="C38" s="75" t="str">
        <f>IF('DATI LOGICI'!C36&lt;&gt;"",'DATI LOGICI'!C36,"")</f>
        <v/>
      </c>
      <c r="D38" s="75" t="str">
        <f>IF('DATI LOGICI'!D36&lt;&gt;"",'DATI LOGICI'!D36,"")</f>
        <v/>
      </c>
      <c r="E38" s="75" t="str">
        <f>IF('DATI LOGICI'!E36&lt;&gt;"",'DATI LOGICI'!E36,"")</f>
        <v/>
      </c>
      <c r="F38" s="75" t="str">
        <f>IF('DATI LOGICI'!F36&lt;&gt;"",'DATI LOGICI'!F36,"")</f>
        <v/>
      </c>
      <c r="G38" s="75" t="str">
        <f>IF('DATI LOGICI'!G36&lt;&gt;"",'DATI LOGICI'!G36,"")</f>
        <v/>
      </c>
      <c r="H38" s="75" t="str">
        <f>IF('DATI LOGICI'!H36&lt;&gt;"",'DATI LOGICI'!H36,"")</f>
        <v/>
      </c>
      <c r="I38" s="75" t="str">
        <f>IF('DATI LOGICI'!I36&lt;&gt;"",'DATI LOGICI'!I36,"")</f>
        <v/>
      </c>
      <c r="J38" s="75"/>
      <c r="K38" s="75"/>
      <c r="L38" s="75"/>
      <c r="M38" s="75"/>
      <c r="N38" s="75"/>
      <c r="O38" s="75"/>
      <c r="P38" s="75"/>
      <c r="Q38" s="75"/>
      <c r="R38" s="75"/>
      <c r="S38" s="75"/>
      <c r="T38" s="75"/>
      <c r="U38" s="75"/>
      <c r="V38" s="75"/>
      <c r="W38" s="75"/>
    </row>
    <row r="39" spans="1:23" s="76" customFormat="1" x14ac:dyDescent="0.25">
      <c r="A39" s="75"/>
      <c r="B39" s="75"/>
      <c r="C39" s="75"/>
      <c r="D39" s="75"/>
      <c r="E39" s="75"/>
      <c r="F39" s="75"/>
      <c r="G39" s="75"/>
      <c r="H39" s="75"/>
      <c r="I39" s="75"/>
      <c r="J39" s="75"/>
      <c r="K39" s="75"/>
      <c r="L39" s="75"/>
      <c r="M39" s="75"/>
      <c r="N39" s="75"/>
      <c r="O39" s="75"/>
      <c r="P39" s="75"/>
      <c r="Q39" s="75"/>
      <c r="R39" s="75"/>
      <c r="S39" s="75"/>
      <c r="T39" s="75"/>
      <c r="U39" s="75"/>
      <c r="V39" s="75"/>
      <c r="W39" s="75"/>
    </row>
    <row r="40" spans="1:23" s="76" customFormat="1" x14ac:dyDescent="0.25">
      <c r="A40" s="75"/>
      <c r="B40" s="75"/>
      <c r="C40" s="75"/>
      <c r="D40" s="75"/>
      <c r="E40" s="75"/>
      <c r="F40" s="75"/>
      <c r="G40" s="75"/>
      <c r="H40" s="75"/>
      <c r="I40" s="75"/>
      <c r="J40" s="75"/>
      <c r="K40" s="75"/>
      <c r="L40" s="75"/>
      <c r="M40" s="75"/>
      <c r="N40" s="75"/>
      <c r="O40" s="75"/>
      <c r="P40" s="75"/>
      <c r="Q40" s="75"/>
      <c r="R40" s="75"/>
      <c r="S40" s="75"/>
      <c r="T40" s="75"/>
      <c r="U40" s="75"/>
      <c r="V40" s="75"/>
      <c r="W40" s="75"/>
    </row>
    <row r="41" spans="1:23" s="76" customFormat="1" x14ac:dyDescent="0.25">
      <c r="A41" s="75"/>
      <c r="B41" s="75"/>
      <c r="C41" s="75"/>
      <c r="D41" s="75"/>
      <c r="E41" s="75"/>
      <c r="F41" s="75"/>
      <c r="G41" s="75"/>
      <c r="H41" s="75"/>
      <c r="I41" s="75"/>
      <c r="J41" s="75"/>
      <c r="K41" s="75"/>
      <c r="L41" s="75"/>
      <c r="M41" s="75"/>
      <c r="N41" s="75"/>
      <c r="O41" s="75"/>
      <c r="P41" s="75"/>
      <c r="Q41" s="75"/>
      <c r="R41" s="75"/>
      <c r="S41" s="75"/>
      <c r="T41" s="75"/>
      <c r="U41" s="75"/>
      <c r="V41" s="75"/>
      <c r="W41" s="75"/>
    </row>
    <row r="42" spans="1:23" x14ac:dyDescent="0.25">
      <c r="A42" s="64" t="s">
        <v>524</v>
      </c>
      <c r="B42" s="64"/>
      <c r="C42" s="64"/>
      <c r="D42" s="64"/>
      <c r="E42" s="64"/>
      <c r="F42" s="64"/>
      <c r="G42" s="64"/>
      <c r="H42" s="64"/>
      <c r="I42" s="64"/>
      <c r="J42" s="43"/>
      <c r="K42" s="107"/>
      <c r="L42" s="108"/>
      <c r="M42" s="108"/>
      <c r="N42" s="108"/>
      <c r="O42" s="108"/>
      <c r="P42" s="108"/>
      <c r="Q42" s="108"/>
      <c r="R42" s="108"/>
      <c r="S42" s="108"/>
      <c r="T42" s="108"/>
      <c r="U42" s="108"/>
      <c r="V42" s="108"/>
      <c r="W42" s="108"/>
    </row>
    <row r="43" spans="1:23" x14ac:dyDescent="0.25">
      <c r="A43" s="19" t="s">
        <v>450</v>
      </c>
      <c r="B43" s="3">
        <v>80</v>
      </c>
      <c r="C43" s="3">
        <v>0</v>
      </c>
      <c r="D43" s="3" t="s">
        <v>138</v>
      </c>
      <c r="E43" s="3"/>
      <c r="F43" s="3"/>
      <c r="G43" s="3"/>
      <c r="H43" s="3"/>
      <c r="I43" s="3" t="s">
        <v>94</v>
      </c>
      <c r="J43" s="3" t="s">
        <v>490</v>
      </c>
      <c r="K43" s="3"/>
    </row>
    <row r="44" spans="1:23" x14ac:dyDescent="0.25">
      <c r="A44" s="19" t="s">
        <v>451</v>
      </c>
      <c r="B44" s="3">
        <v>80</v>
      </c>
      <c r="C44" s="3">
        <v>1</v>
      </c>
      <c r="D44" s="3" t="s">
        <v>138</v>
      </c>
      <c r="E44" s="3"/>
      <c r="F44" s="3"/>
      <c r="G44" s="3"/>
      <c r="H44" s="3"/>
      <c r="I44" s="3" t="s">
        <v>94</v>
      </c>
      <c r="J44" s="3" t="s">
        <v>490</v>
      </c>
      <c r="K44" s="3"/>
      <c r="L44" s="3"/>
      <c r="M44" s="3"/>
      <c r="N44" s="3"/>
      <c r="O44" s="3"/>
    </row>
    <row r="45" spans="1:23" x14ac:dyDescent="0.25">
      <c r="A45" s="19" t="s">
        <v>452</v>
      </c>
      <c r="B45" s="3">
        <v>80</v>
      </c>
      <c r="C45" s="3">
        <v>2</v>
      </c>
      <c r="D45" s="3" t="s">
        <v>138</v>
      </c>
      <c r="E45" s="3"/>
      <c r="F45" s="3"/>
      <c r="G45" s="3"/>
      <c r="H45" s="3"/>
      <c r="I45" s="3" t="s">
        <v>94</v>
      </c>
      <c r="J45" s="3" t="s">
        <v>490</v>
      </c>
      <c r="K45" s="3"/>
    </row>
    <row r="46" spans="1:23" x14ac:dyDescent="0.25">
      <c r="A46" s="19" t="s">
        <v>453</v>
      </c>
      <c r="B46" s="3">
        <v>80</v>
      </c>
      <c r="C46" s="3">
        <v>3</v>
      </c>
      <c r="D46" s="3" t="s">
        <v>138</v>
      </c>
      <c r="E46" s="3"/>
      <c r="F46" s="3"/>
      <c r="G46" s="3"/>
      <c r="H46" s="3"/>
      <c r="I46" s="3" t="s">
        <v>94</v>
      </c>
      <c r="J46" s="3"/>
      <c r="K46" s="3"/>
    </row>
    <row r="47" spans="1:23" x14ac:dyDescent="0.25">
      <c r="A47" s="19" t="s">
        <v>454</v>
      </c>
      <c r="B47" s="3">
        <v>80</v>
      </c>
      <c r="C47" s="3">
        <v>4</v>
      </c>
      <c r="D47" s="3" t="s">
        <v>138</v>
      </c>
      <c r="I47" s="3" t="s">
        <v>88</v>
      </c>
      <c r="J47" s="3"/>
      <c r="K47" s="3"/>
    </row>
    <row r="48" spans="1:23" x14ac:dyDescent="0.25">
      <c r="A48" s="41" t="s">
        <v>455</v>
      </c>
      <c r="B48" s="3">
        <v>80</v>
      </c>
      <c r="C48" s="3">
        <v>5</v>
      </c>
      <c r="D48" s="3" t="s">
        <v>457</v>
      </c>
      <c r="I48" s="3" t="s">
        <v>88</v>
      </c>
      <c r="J48" s="3"/>
    </row>
    <row r="49" spans="1:10" x14ac:dyDescent="0.25">
      <c r="A49" s="41" t="s">
        <v>456</v>
      </c>
      <c r="B49" s="3">
        <v>80</v>
      </c>
      <c r="C49" s="3">
        <v>6</v>
      </c>
      <c r="D49" s="3" t="s">
        <v>457</v>
      </c>
      <c r="I49" s="3" t="s">
        <v>94</v>
      </c>
      <c r="J49" s="3"/>
    </row>
    <row r="50" spans="1:10" x14ac:dyDescent="0.25">
      <c r="A50" s="3" t="s">
        <v>525</v>
      </c>
      <c r="B50" s="3">
        <v>80</v>
      </c>
      <c r="C50" s="3">
        <v>7</v>
      </c>
      <c r="D50" s="3" t="s">
        <v>457</v>
      </c>
      <c r="I50" s="3" t="s">
        <v>94</v>
      </c>
    </row>
    <row r="51" spans="1:10" x14ac:dyDescent="0.25">
      <c r="A51" s="3" t="s">
        <v>526</v>
      </c>
      <c r="B51" s="3">
        <v>80</v>
      </c>
      <c r="C51" s="3">
        <v>8</v>
      </c>
      <c r="D51" s="3" t="s">
        <v>457</v>
      </c>
      <c r="I51" s="3" t="s">
        <v>94</v>
      </c>
    </row>
  </sheetData>
  <mergeCells count="3">
    <mergeCell ref="K4:T4"/>
    <mergeCell ref="K42:W42"/>
    <mergeCell ref="A1:J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2BB18-8010-4F67-B6F9-2731CD091688}">
  <dimension ref="A1:AMK77"/>
  <sheetViews>
    <sheetView zoomScaleNormal="100" workbookViewId="0">
      <pane xSplit="1" ySplit="4" topLeftCell="B5" activePane="bottomRight" state="frozen"/>
      <selection pane="topRight" activeCell="B1" sqref="B1"/>
      <selection pane="bottomLeft" activeCell="A3" sqref="A3"/>
      <selection pane="bottomRight" activeCell="B2" sqref="B2"/>
    </sheetView>
  </sheetViews>
  <sheetFormatPr defaultColWidth="8.5703125" defaultRowHeight="15" x14ac:dyDescent="0.25"/>
  <cols>
    <col min="1" max="1" width="50.7109375" customWidth="1"/>
    <col min="2" max="4" width="12.7109375" customWidth="1"/>
    <col min="5" max="7" width="14.7109375" customWidth="1"/>
    <col min="8" max="8" width="18.7109375" customWidth="1"/>
    <col min="9" max="9" width="6.7109375" customWidth="1"/>
    <col min="10" max="10" width="10.7109375" style="1" customWidth="1"/>
    <col min="11" max="11" width="100.7109375" customWidth="1"/>
  </cols>
  <sheetData>
    <row r="1" spans="1:20" s="1" customFormat="1" x14ac:dyDescent="0.25">
      <c r="A1" s="100" t="s">
        <v>780</v>
      </c>
      <c r="B1" s="100"/>
      <c r="C1" s="100"/>
      <c r="D1" s="100"/>
      <c r="E1" s="100"/>
      <c r="F1" s="100"/>
      <c r="G1" s="100"/>
      <c r="H1" s="100"/>
      <c r="I1" s="100"/>
      <c r="J1" s="100"/>
      <c r="K1" s="3"/>
    </row>
    <row r="2" spans="1:20" s="1" customFormat="1" x14ac:dyDescent="0.25">
      <c r="A2" s="3" t="s">
        <v>898</v>
      </c>
      <c r="K2" s="3"/>
    </row>
    <row r="3" spans="1:20" x14ac:dyDescent="0.25">
      <c r="A3" s="14" t="s">
        <v>308</v>
      </c>
      <c r="B3" s="102" t="s">
        <v>496</v>
      </c>
      <c r="C3" s="103"/>
      <c r="D3" s="2" t="s">
        <v>83</v>
      </c>
      <c r="E3" s="15" t="s">
        <v>84</v>
      </c>
      <c r="F3" s="16" t="s">
        <v>85</v>
      </c>
      <c r="G3" s="16" t="s">
        <v>86</v>
      </c>
      <c r="H3" s="17" t="s">
        <v>87</v>
      </c>
      <c r="I3" s="18" t="s">
        <v>88</v>
      </c>
      <c r="J3" s="18" t="s">
        <v>487</v>
      </c>
      <c r="K3" s="3" t="s">
        <v>135</v>
      </c>
      <c r="L3" s="1"/>
      <c r="M3" s="1"/>
      <c r="N3" s="1"/>
      <c r="O3" s="1"/>
      <c r="P3" s="1"/>
      <c r="Q3" s="1"/>
      <c r="R3" s="1"/>
      <c r="S3" s="1"/>
      <c r="T3" s="1"/>
    </row>
    <row r="4" spans="1:20" x14ac:dyDescent="0.25">
      <c r="A4" s="107" t="s">
        <v>89</v>
      </c>
      <c r="B4" s="108"/>
      <c r="C4" s="108"/>
      <c r="D4" s="108"/>
      <c r="E4" s="108"/>
      <c r="F4" s="108"/>
      <c r="G4" s="108"/>
      <c r="H4" s="108"/>
      <c r="I4" s="108"/>
      <c r="J4" s="110"/>
      <c r="K4" s="104"/>
      <c r="L4" s="105"/>
      <c r="M4" s="105"/>
      <c r="N4" s="105"/>
      <c r="O4" s="105"/>
      <c r="P4" s="105"/>
      <c r="Q4" s="105"/>
      <c r="R4" s="105"/>
      <c r="S4" s="105"/>
      <c r="T4" s="106"/>
    </row>
    <row r="5" spans="1:20" x14ac:dyDescent="0.25">
      <c r="A5" s="3"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row>
    <row r="6" spans="1:20" x14ac:dyDescent="0.25">
      <c r="A6" s="3"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row>
    <row r="7" spans="1:20" x14ac:dyDescent="0.25">
      <c r="A7" s="3"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row>
    <row r="8" spans="1:20" x14ac:dyDescent="0.25">
      <c r="A8" s="3"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row>
    <row r="9" spans="1:20" x14ac:dyDescent="0.25">
      <c r="A9" s="3"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tr">
        <f>IF('DATI LOGICI'!I7&lt;&gt;"",'DATI LOGICI'!I7,"")</f>
        <v>N</v>
      </c>
      <c r="J9" s="3"/>
    </row>
    <row r="10" spans="1:20" x14ac:dyDescent="0.25">
      <c r="A10" s="46"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row>
    <row r="11" spans="1:20" x14ac:dyDescent="0.25">
      <c r="A11" s="3"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row>
    <row r="12" spans="1:20" x14ac:dyDescent="0.25">
      <c r="A12" s="46"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row>
    <row r="13" spans="1:20" x14ac:dyDescent="0.25">
      <c r="A13" s="3"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row>
    <row r="14" spans="1:20" x14ac:dyDescent="0.25">
      <c r="A14" s="47"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row>
    <row r="15" spans="1:20" x14ac:dyDescent="0.25">
      <c r="A15" s="47"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row>
    <row r="16" spans="1:20" x14ac:dyDescent="0.25">
      <c r="A16" s="47"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row>
    <row r="17" spans="1:9" x14ac:dyDescent="0.25">
      <c r="A17" s="47"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row>
    <row r="18" spans="1:9" x14ac:dyDescent="0.25">
      <c r="A18" s="47"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row>
    <row r="19" spans="1:9" x14ac:dyDescent="0.25">
      <c r="A19" s="47"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row>
    <row r="20" spans="1:9" x14ac:dyDescent="0.25">
      <c r="A20" s="49"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t="str">
        <f>IF('DATI LOGICI'!F18&lt;&gt;"",'DATI LOGICI'!F18,"")</f>
        <v/>
      </c>
      <c r="G20" s="3" t="str">
        <f>IF('DATI LOGICI'!G18&lt;&gt;"",'DATI LOGICI'!G18,"")</f>
        <v/>
      </c>
      <c r="H20" s="3" t="str">
        <f>IF('DATI LOGICI'!H18&lt;&gt;"",'DATI LOGICI'!H18,"")</f>
        <v/>
      </c>
      <c r="I20" s="3" t="str">
        <f>IF('DATI LOGICI'!I18&lt;&gt;"",'DATI LOGICI'!I18,"")</f>
        <v>R</v>
      </c>
    </row>
    <row r="21" spans="1:9" x14ac:dyDescent="0.25">
      <c r="A21" s="47"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row>
    <row r="22" spans="1:9" x14ac:dyDescent="0.25">
      <c r="A22" s="47"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row>
    <row r="23" spans="1:9" x14ac:dyDescent="0.25">
      <c r="A23" s="47"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row>
    <row r="24" spans="1:9" x14ac:dyDescent="0.25">
      <c r="A24" s="47"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row>
    <row r="25" spans="1:9" x14ac:dyDescent="0.25">
      <c r="A25" s="47"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row>
    <row r="26" spans="1:9" x14ac:dyDescent="0.25">
      <c r="A26" s="3"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row>
    <row r="27" spans="1:9" x14ac:dyDescent="0.25">
      <c r="A27" s="3"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row>
    <row r="28" spans="1:9" x14ac:dyDescent="0.25">
      <c r="A28" s="3" t="str">
        <f>IF('DATI LOGICI'!A26&lt;&gt;"",'DATI LOGICI'!A26,"")</f>
        <v>Firmware Bootloader</v>
      </c>
      <c r="B28" s="3">
        <f>IF('DATI LOGICI'!B26&lt;&gt;"",'DATI LOGICI'!B26,"")</f>
        <v>0</v>
      </c>
      <c r="C28" s="3">
        <f>IF('DATI LOGICI'!C26&lt;&gt;"",'DATI LOGICI'!C26,"")</f>
        <v>17</v>
      </c>
      <c r="D28" s="3" t="str">
        <f>IF('DATI LOGICI'!D26&lt;&gt;"",'DATI LOGICI'!D26,"")</f>
        <v xml:space="preserve">uint16_t </v>
      </c>
      <c r="E28" s="3" t="str">
        <f>IF('DATI LOGICI'!E26&lt;&gt;"",'DATI LOGICI'!E26,"")</f>
        <v>255.255</v>
      </c>
      <c r="F28" s="3">
        <f>IF('DATI LOGICI'!F26&lt;&gt;"",'DATI LOGICI'!F26,"")</f>
        <v>0</v>
      </c>
      <c r="G28" s="3" t="str">
        <f>IF('DATI LOGICI'!G26&lt;&gt;"",'DATI LOGICI'!G26,"")</f>
        <v>255.255</v>
      </c>
      <c r="H28" s="3" t="str">
        <f>IF('DATI LOGICI'!H26&lt;&gt;"",'DATI LOGICI'!H26,"")</f>
        <v/>
      </c>
      <c r="I28" s="3" t="str">
        <f>IF('DATI LOGICI'!I26&lt;&gt;"",'DATI LOGICI'!I26,"")</f>
        <v>R</v>
      </c>
    </row>
    <row r="29" spans="1:9" x14ac:dyDescent="0.25">
      <c r="A29" s="3" t="str">
        <f>IF('DATI LOGICI'!A27&lt;&gt;"",'DATI LOGICI'!A27,"")</f>
        <v/>
      </c>
      <c r="B29" s="3" t="str">
        <f>IF('DATI LOGICI'!B27&lt;&gt;"",'DATI LOGICI'!B27,"")</f>
        <v/>
      </c>
      <c r="C29" s="3" t="str">
        <f>IF('DATI LOGICI'!C27&lt;&gt;"",'DATI LOGICI'!C27,"")</f>
        <v/>
      </c>
      <c r="D29" s="3" t="str">
        <f>IF('DATI LOGICI'!D27&lt;&gt;"",'DATI LOGICI'!D27,"")</f>
        <v/>
      </c>
      <c r="E29" s="3" t="str">
        <f>IF('DATI LOGICI'!E27&lt;&gt;"",'DATI LOGICI'!E27,"")</f>
        <v/>
      </c>
      <c r="F29" s="3" t="str">
        <f>IF('DATI LOGICI'!F27&lt;&gt;"",'DATI LOGICI'!F27,"")</f>
        <v/>
      </c>
      <c r="G29" s="3" t="str">
        <f>IF('DATI LOGICI'!G27&lt;&gt;"",'DATI LOGICI'!G27,"")</f>
        <v/>
      </c>
      <c r="H29" s="3" t="str">
        <f>IF('DATI LOGICI'!H27&lt;&gt;"",'DATI LOGICI'!H27,"")</f>
        <v/>
      </c>
      <c r="I29" s="3" t="str">
        <f>IF('DATI LOGICI'!I27&lt;&gt;"",'DATI LOGICI'!I27,"")</f>
        <v/>
      </c>
    </row>
    <row r="30" spans="1:9" x14ac:dyDescent="0.25">
      <c r="A30" s="3" t="str">
        <f>IF('DATI LOGICI'!A28&lt;&gt;"",'DATI LOGICI'!A28,"")</f>
        <v/>
      </c>
      <c r="B30" s="3" t="str">
        <f>IF('DATI LOGICI'!B28&lt;&gt;"",'DATI LOGICI'!B28,"")</f>
        <v/>
      </c>
      <c r="C30" s="3" t="str">
        <f>IF('DATI LOGICI'!C28&lt;&gt;"",'DATI LOGICI'!C28,"")</f>
        <v/>
      </c>
      <c r="D30" s="3" t="str">
        <f>IF('DATI LOGICI'!D28&lt;&gt;"",'DATI LOGICI'!D28,"")</f>
        <v/>
      </c>
      <c r="E30" s="3" t="str">
        <f>IF('DATI LOGICI'!E28&lt;&gt;"",'DATI LOGICI'!E28,"")</f>
        <v/>
      </c>
      <c r="F30" s="3" t="str">
        <f>IF('DATI LOGICI'!F28&lt;&gt;"",'DATI LOGICI'!F28,"")</f>
        <v/>
      </c>
      <c r="G30" s="3" t="str">
        <f>IF('DATI LOGICI'!G28&lt;&gt;"",'DATI LOGICI'!G28,"")</f>
        <v/>
      </c>
      <c r="H30" s="3" t="str">
        <f>IF('DATI LOGICI'!H28&lt;&gt;"",'DATI LOGICI'!H28,"")</f>
        <v/>
      </c>
      <c r="I30" s="3" t="str">
        <f>IF('DATI LOGICI'!I28&lt;&gt;"",'DATI LOGICI'!I28,"")</f>
        <v/>
      </c>
    </row>
    <row r="31" spans="1:9" x14ac:dyDescent="0.25">
      <c r="A31" s="3" t="str">
        <f>IF('DATI LOGICI'!A29&lt;&gt;"",'DATI LOGICI'!A29,"")</f>
        <v/>
      </c>
      <c r="B31" s="3" t="str">
        <f>IF('DATI LOGICI'!B29&lt;&gt;"",'DATI LOGICI'!B29,"")</f>
        <v/>
      </c>
      <c r="C31" s="3" t="str">
        <f>IF('DATI LOGICI'!C29&lt;&gt;"",'DATI LOGICI'!C29,"")</f>
        <v/>
      </c>
      <c r="D31" s="3" t="str">
        <f>IF('DATI LOGICI'!D29&lt;&gt;"",'DATI LOGICI'!D29,"")</f>
        <v/>
      </c>
      <c r="E31" s="3" t="str">
        <f>IF('DATI LOGICI'!E29&lt;&gt;"",'DATI LOGICI'!E29,"")</f>
        <v/>
      </c>
      <c r="F31" s="3" t="str">
        <f>IF('DATI LOGICI'!F29&lt;&gt;"",'DATI LOGICI'!F29,"")</f>
        <v/>
      </c>
      <c r="G31" s="3" t="str">
        <f>IF('DATI LOGICI'!G29&lt;&gt;"",'DATI LOGICI'!G29,"")</f>
        <v/>
      </c>
      <c r="H31" s="3" t="str">
        <f>IF('DATI LOGICI'!H29&lt;&gt;"",'DATI LOGICI'!H29,"")</f>
        <v/>
      </c>
      <c r="I31" s="3" t="str">
        <f>IF('DATI LOGICI'!I29&lt;&gt;"",'DATI LOGICI'!I29,"")</f>
        <v/>
      </c>
    </row>
    <row r="32" spans="1:9" x14ac:dyDescent="0.25">
      <c r="A32" s="3"/>
      <c r="B32" s="3"/>
      <c r="C32" s="3"/>
      <c r="D32" s="3"/>
      <c r="E32" s="3"/>
      <c r="F32" s="3"/>
      <c r="G32" s="3"/>
      <c r="H32" s="3"/>
      <c r="I32" s="3"/>
    </row>
    <row r="33" spans="1:1025" x14ac:dyDescent="0.25">
      <c r="A33" s="3"/>
      <c r="B33" s="3"/>
      <c r="C33" s="3"/>
      <c r="D33" s="3"/>
      <c r="E33" s="3"/>
      <c r="F33" s="3"/>
      <c r="G33" s="3"/>
      <c r="H33" s="3"/>
      <c r="I33" s="3"/>
    </row>
    <row r="34" spans="1:1025" x14ac:dyDescent="0.25">
      <c r="A34" s="3"/>
      <c r="B34" s="3"/>
      <c r="C34" s="3"/>
      <c r="D34" s="3"/>
      <c r="E34" s="3"/>
      <c r="F34" s="3"/>
      <c r="G34" s="3"/>
      <c r="H34" s="3"/>
      <c r="I34" s="3"/>
    </row>
    <row r="35" spans="1:1025" x14ac:dyDescent="0.25">
      <c r="A35" s="3"/>
      <c r="B35" s="3"/>
      <c r="C35" s="3"/>
      <c r="D35" s="3"/>
      <c r="E35" s="3"/>
      <c r="F35" s="3"/>
      <c r="G35" s="3"/>
      <c r="H35" s="3"/>
      <c r="I35" s="3"/>
    </row>
    <row r="36" spans="1:1025" x14ac:dyDescent="0.25">
      <c r="A36" s="3"/>
      <c r="B36" s="3"/>
      <c r="C36" s="3"/>
      <c r="D36" s="3"/>
      <c r="E36" s="3"/>
      <c r="F36" s="3"/>
      <c r="G36" s="3"/>
      <c r="H36" s="3"/>
      <c r="I36" s="3"/>
    </row>
    <row r="37" spans="1:1025" x14ac:dyDescent="0.25">
      <c r="A37" s="3"/>
      <c r="B37" s="3"/>
      <c r="C37" s="3"/>
      <c r="D37" s="3"/>
      <c r="E37" s="3"/>
      <c r="F37" s="3"/>
      <c r="G37" s="3"/>
      <c r="H37" s="3"/>
      <c r="I37" s="3"/>
    </row>
    <row r="38" spans="1:1025" x14ac:dyDescent="0.25">
      <c r="A38" s="104" t="s">
        <v>495</v>
      </c>
      <c r="B38" s="105"/>
      <c r="C38" s="105"/>
      <c r="D38" s="105"/>
      <c r="E38" s="105"/>
      <c r="F38" s="105"/>
      <c r="G38" s="105"/>
      <c r="H38" s="105"/>
      <c r="I38" s="105"/>
      <c r="J38" s="106"/>
      <c r="K38" s="104"/>
      <c r="L38" s="105"/>
      <c r="M38" s="105"/>
      <c r="N38" s="105"/>
      <c r="O38" s="105"/>
      <c r="P38" s="105"/>
      <c r="Q38" s="105"/>
      <c r="R38" s="105"/>
      <c r="S38" s="105"/>
      <c r="T38" s="106"/>
    </row>
    <row r="39" spans="1:1025" ht="89.25" x14ac:dyDescent="0.25">
      <c r="A39" s="48" t="s">
        <v>313</v>
      </c>
      <c r="B39" s="3">
        <v>80</v>
      </c>
      <c r="C39" s="3">
        <v>0</v>
      </c>
      <c r="D39" s="3" t="s">
        <v>138</v>
      </c>
      <c r="E39" s="3"/>
      <c r="F39" s="3"/>
      <c r="G39" s="3"/>
      <c r="H39" s="3"/>
      <c r="I39" s="3" t="s">
        <v>94</v>
      </c>
      <c r="K39" s="36" t="s">
        <v>314</v>
      </c>
      <c r="L39" s="1"/>
      <c r="M39" s="1"/>
      <c r="N39" s="1"/>
      <c r="O39" s="1"/>
      <c r="P39" s="1"/>
      <c r="Q39" s="1"/>
      <c r="R39" s="1"/>
      <c r="S39" s="1"/>
      <c r="T39" s="1"/>
    </row>
    <row r="40" spans="1:1025" x14ac:dyDescent="0.25">
      <c r="A40" s="19" t="s">
        <v>315</v>
      </c>
      <c r="B40" s="3">
        <v>80</v>
      </c>
      <c r="C40" s="3">
        <v>1</v>
      </c>
      <c r="D40" s="3" t="s">
        <v>141</v>
      </c>
      <c r="E40" s="3"/>
      <c r="F40" s="3">
        <v>0</v>
      </c>
      <c r="G40" s="3">
        <v>1</v>
      </c>
      <c r="H40" s="3"/>
      <c r="I40" s="3" t="s">
        <v>101</v>
      </c>
      <c r="K40" s="3" t="s">
        <v>316</v>
      </c>
      <c r="L40" s="1"/>
      <c r="M40" s="1"/>
      <c r="N40" s="1"/>
      <c r="O40" s="1"/>
      <c r="P40" s="1"/>
      <c r="Q40" s="1"/>
      <c r="R40" s="1"/>
      <c r="S40" s="1"/>
      <c r="T40" s="1"/>
    </row>
    <row r="41" spans="1:1025" x14ac:dyDescent="0.25">
      <c r="A41" s="19" t="s">
        <v>317</v>
      </c>
      <c r="B41" s="3">
        <v>80</v>
      </c>
      <c r="C41" s="3">
        <v>2</v>
      </c>
      <c r="D41" s="3" t="s">
        <v>129</v>
      </c>
      <c r="E41" s="3"/>
      <c r="F41" s="3">
        <v>-32767</v>
      </c>
      <c r="G41" s="3">
        <v>32767</v>
      </c>
      <c r="H41" s="3" t="s">
        <v>318</v>
      </c>
      <c r="I41" s="3" t="s">
        <v>94</v>
      </c>
      <c r="K41" s="3" t="s">
        <v>319</v>
      </c>
      <c r="L41" s="1"/>
      <c r="M41" s="1"/>
      <c r="N41" s="1"/>
      <c r="O41" s="1"/>
      <c r="P41" s="1"/>
      <c r="Q41" s="1"/>
      <c r="R41" s="1"/>
      <c r="S41" s="1"/>
      <c r="T41" s="1"/>
    </row>
    <row r="42" spans="1:1025" x14ac:dyDescent="0.25">
      <c r="A42" s="19" t="s">
        <v>151</v>
      </c>
      <c r="B42" s="3">
        <f t="shared" ref="B42:B43" si="0">B39</f>
        <v>80</v>
      </c>
      <c r="C42" s="3">
        <f t="shared" ref="C42:C43" si="1">C41+1</f>
        <v>3</v>
      </c>
      <c r="D42" s="3" t="s">
        <v>148</v>
      </c>
      <c r="E42" s="3"/>
      <c r="F42" s="3">
        <v>-32767</v>
      </c>
      <c r="G42" s="3">
        <v>32767</v>
      </c>
      <c r="H42" s="3"/>
      <c r="I42" s="3" t="s">
        <v>101</v>
      </c>
      <c r="K42" s="3"/>
    </row>
    <row r="43" spans="1:1025" x14ac:dyDescent="0.25">
      <c r="A43" s="19" t="s">
        <v>152</v>
      </c>
      <c r="B43" s="3">
        <f t="shared" si="0"/>
        <v>80</v>
      </c>
      <c r="C43" s="3">
        <f t="shared" si="1"/>
        <v>4</v>
      </c>
      <c r="D43" s="3" t="s">
        <v>153</v>
      </c>
      <c r="E43" s="3"/>
      <c r="F43" s="3">
        <v>-2147483647</v>
      </c>
      <c r="G43" s="3">
        <v>2147483647</v>
      </c>
      <c r="H43" s="3"/>
      <c r="I43" s="3" t="s">
        <v>101</v>
      </c>
      <c r="K43" s="3"/>
    </row>
    <row r="44" spans="1:1025" x14ac:dyDescent="0.25">
      <c r="A44" s="19" t="s">
        <v>334</v>
      </c>
      <c r="B44" s="3">
        <v>80</v>
      </c>
      <c r="C44" s="3">
        <v>5</v>
      </c>
      <c r="D44" s="3" t="s">
        <v>148</v>
      </c>
      <c r="E44" s="3"/>
      <c r="F44" s="3">
        <v>-800</v>
      </c>
      <c r="G44" s="3">
        <v>800</v>
      </c>
      <c r="H44" s="3" t="s">
        <v>320</v>
      </c>
      <c r="I44" s="3" t="s">
        <v>94</v>
      </c>
      <c r="K44" s="3" t="s">
        <v>321</v>
      </c>
      <c r="L44" s="1"/>
      <c r="M44" s="1"/>
      <c r="N44" s="1"/>
      <c r="O44" s="1"/>
      <c r="P44" s="1"/>
      <c r="Q44" s="1"/>
      <c r="R44" s="1"/>
      <c r="S44" s="1"/>
    </row>
    <row r="45" spans="1:1025" ht="30" x14ac:dyDescent="0.25">
      <c r="A45" s="19" t="s">
        <v>164</v>
      </c>
      <c r="B45" s="3">
        <v>80</v>
      </c>
      <c r="C45" s="3">
        <v>6</v>
      </c>
      <c r="D45" s="3" t="s">
        <v>148</v>
      </c>
      <c r="E45" s="3"/>
      <c r="F45" s="3">
        <v>-32767</v>
      </c>
      <c r="G45" s="3">
        <v>32767</v>
      </c>
      <c r="H45" s="3"/>
      <c r="I45" s="3" t="s">
        <v>101</v>
      </c>
      <c r="J45" s="38" t="s">
        <v>494</v>
      </c>
      <c r="K45" s="3"/>
    </row>
    <row r="46" spans="1:1025" x14ac:dyDescent="0.25">
      <c r="A46" s="19" t="s">
        <v>165</v>
      </c>
      <c r="B46" s="3">
        <v>80</v>
      </c>
      <c r="C46" s="3">
        <f>C45+1</f>
        <v>7</v>
      </c>
      <c r="D46" s="3" t="s">
        <v>166</v>
      </c>
      <c r="E46" s="3"/>
      <c r="F46" s="3">
        <v>-2147483647</v>
      </c>
      <c r="G46" s="3">
        <v>2147483647</v>
      </c>
      <c r="H46" s="3"/>
      <c r="I46" s="3" t="s">
        <v>101</v>
      </c>
      <c r="K46" s="3"/>
      <c r="L46" s="1"/>
      <c r="M46" s="1"/>
      <c r="N46" s="1"/>
      <c r="O46" s="1"/>
      <c r="P46" s="1"/>
      <c r="Q46" s="1"/>
      <c r="R46" s="1"/>
      <c r="S46" s="1"/>
    </row>
    <row r="47" spans="1:1025" x14ac:dyDescent="0.25">
      <c r="A47" s="19" t="s">
        <v>322</v>
      </c>
      <c r="B47" s="3">
        <v>80</v>
      </c>
      <c r="C47" s="3">
        <v>8</v>
      </c>
      <c r="D47" s="3" t="s">
        <v>141</v>
      </c>
      <c r="E47" s="3"/>
      <c r="F47" s="3">
        <v>0</v>
      </c>
      <c r="G47" s="3">
        <v>1</v>
      </c>
      <c r="H47" s="3"/>
      <c r="I47" s="3" t="s">
        <v>101</v>
      </c>
      <c r="K47" s="3" t="s">
        <v>323</v>
      </c>
    </row>
    <row r="48" spans="1:1025" x14ac:dyDescent="0.25">
      <c r="A48" s="19" t="s">
        <v>326</v>
      </c>
      <c r="B48" s="3">
        <v>80</v>
      </c>
      <c r="C48" s="3">
        <v>9</v>
      </c>
      <c r="D48" s="3" t="s">
        <v>100</v>
      </c>
      <c r="E48" s="3"/>
      <c r="F48" s="3">
        <v>0</v>
      </c>
      <c r="G48" s="3">
        <v>4294967294</v>
      </c>
      <c r="H48" s="3"/>
      <c r="I48" s="3" t="s">
        <v>101</v>
      </c>
      <c r="K48" s="22"/>
      <c r="L48" s="1"/>
      <c r="M48" s="1"/>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c r="ED48" s="3"/>
      <c r="EE48" s="3"/>
      <c r="EF48" s="3"/>
      <c r="EG48" s="3"/>
      <c r="EH48" s="3"/>
      <c r="EI48" s="3"/>
      <c r="EJ48" s="3"/>
      <c r="EK48" s="3"/>
      <c r="EL48" s="3"/>
      <c r="EM48" s="3"/>
      <c r="EN48" s="3"/>
      <c r="EO48" s="3"/>
      <c r="EP48" s="3"/>
      <c r="EQ48" s="3"/>
      <c r="ER48" s="3"/>
      <c r="ES48" s="3"/>
      <c r="ET48" s="3"/>
      <c r="EU48" s="3"/>
      <c r="EV48" s="3"/>
      <c r="EW48" s="3"/>
      <c r="EX48" s="3"/>
      <c r="EY48" s="3"/>
      <c r="EZ48" s="3"/>
      <c r="FA48" s="3"/>
      <c r="FB48" s="3"/>
      <c r="FC48" s="3"/>
      <c r="FD48" s="3"/>
      <c r="FE48" s="3"/>
      <c r="FF48" s="3"/>
      <c r="FG48" s="3"/>
      <c r="FH48" s="3"/>
      <c r="FI48" s="3"/>
      <c r="FJ48" s="3"/>
      <c r="FK48" s="3"/>
      <c r="FL48" s="3"/>
      <c r="FM48" s="3"/>
      <c r="FN48" s="3"/>
      <c r="FO48" s="3"/>
      <c r="FP48" s="3"/>
      <c r="FQ48" s="3"/>
      <c r="FR48" s="3"/>
      <c r="FS48" s="3"/>
      <c r="FT48" s="3"/>
      <c r="FU48" s="3"/>
      <c r="FV48" s="3"/>
      <c r="FW48" s="3"/>
      <c r="FX48" s="3"/>
      <c r="FY48" s="3"/>
      <c r="FZ48" s="3"/>
      <c r="GA48" s="3"/>
      <c r="GB48" s="3"/>
      <c r="GC48" s="3"/>
      <c r="GD48" s="3"/>
      <c r="GE48" s="3"/>
      <c r="GF48" s="3"/>
      <c r="GG48" s="3"/>
      <c r="GH48" s="3"/>
      <c r="GI48" s="3"/>
      <c r="GJ48" s="3"/>
      <c r="GK48" s="3"/>
      <c r="GL48" s="3"/>
      <c r="GM48" s="3"/>
      <c r="GN48" s="3"/>
      <c r="GO48" s="3"/>
      <c r="GP48" s="3"/>
      <c r="GQ48" s="3"/>
      <c r="GR48" s="3"/>
      <c r="GS48" s="3"/>
      <c r="GT48" s="3"/>
      <c r="GU48" s="3"/>
      <c r="GV48" s="3"/>
      <c r="GW48" s="3"/>
      <c r="GX48" s="3"/>
      <c r="GY48" s="3"/>
      <c r="GZ48" s="3"/>
      <c r="HA48" s="3"/>
      <c r="HB48" s="3"/>
      <c r="HC48" s="3"/>
      <c r="HD48" s="3"/>
      <c r="HE48" s="3"/>
      <c r="HF48" s="3"/>
      <c r="HG48" s="3"/>
      <c r="HH48" s="3"/>
      <c r="HI48" s="3"/>
      <c r="HJ48" s="3"/>
      <c r="HK48" s="3"/>
      <c r="HL48" s="3"/>
      <c r="HM48" s="3"/>
      <c r="HN48" s="3"/>
      <c r="HO48" s="3"/>
      <c r="HP48" s="3"/>
      <c r="HQ48" s="3"/>
      <c r="HR48" s="3"/>
      <c r="HS48" s="3"/>
      <c r="HT48" s="3"/>
      <c r="HU48" s="3"/>
      <c r="HV48" s="3"/>
      <c r="HW48" s="3"/>
      <c r="HX48" s="3"/>
      <c r="HY48" s="3"/>
      <c r="HZ48" s="3"/>
      <c r="IA48" s="3"/>
      <c r="IB48" s="3"/>
      <c r="IC48" s="3"/>
      <c r="ID48" s="3"/>
      <c r="IE48" s="3"/>
      <c r="IF48" s="3"/>
      <c r="IG48" s="3"/>
      <c r="IH48" s="3"/>
      <c r="II48" s="3"/>
      <c r="IJ48" s="3"/>
      <c r="IK48" s="3"/>
      <c r="IL48" s="3"/>
      <c r="IM48" s="3"/>
      <c r="IN48" s="3"/>
      <c r="IO48" s="3"/>
      <c r="IP48" s="3"/>
      <c r="IQ48" s="3"/>
      <c r="IR48" s="3"/>
      <c r="IS48" s="3"/>
      <c r="IT48" s="3"/>
      <c r="IU48" s="3"/>
      <c r="IV48" s="3"/>
      <c r="IW48" s="3"/>
      <c r="IX48" s="3"/>
      <c r="IY48" s="3"/>
      <c r="IZ48" s="3"/>
      <c r="JA48" s="3"/>
      <c r="JB48" s="3"/>
      <c r="JC48" s="3"/>
      <c r="JD48" s="3"/>
      <c r="JE48" s="3"/>
      <c r="JF48" s="3"/>
      <c r="JG48" s="3"/>
      <c r="JH48" s="3"/>
      <c r="JI48" s="3"/>
      <c r="JJ48" s="3"/>
      <c r="JK48" s="3"/>
      <c r="JL48" s="3"/>
      <c r="JM48" s="3"/>
      <c r="JN48" s="3"/>
      <c r="JO48" s="3"/>
      <c r="JP48" s="3"/>
      <c r="JQ48" s="3"/>
      <c r="JR48" s="3"/>
      <c r="JS48" s="3"/>
      <c r="JT48" s="3"/>
      <c r="JU48" s="3"/>
      <c r="JV48" s="3"/>
      <c r="JW48" s="3"/>
      <c r="JX48" s="3"/>
      <c r="JY48" s="3"/>
      <c r="JZ48" s="3"/>
      <c r="KA48" s="3"/>
      <c r="KB48" s="3"/>
      <c r="KC48" s="3"/>
      <c r="KD48" s="3"/>
      <c r="KE48" s="3"/>
      <c r="KF48" s="3"/>
      <c r="KG48" s="3"/>
      <c r="KH48" s="3"/>
      <c r="KI48" s="3"/>
      <c r="KJ48" s="3"/>
      <c r="KK48" s="3"/>
      <c r="KL48" s="3"/>
      <c r="KM48" s="3"/>
      <c r="KN48" s="3"/>
      <c r="KO48" s="3"/>
      <c r="KP48" s="3"/>
      <c r="KQ48" s="3"/>
      <c r="KR48" s="3"/>
      <c r="KS48" s="3"/>
      <c r="KT48" s="3"/>
      <c r="KU48" s="3"/>
      <c r="KV48" s="3"/>
      <c r="KW48" s="3"/>
      <c r="KX48" s="3"/>
      <c r="KY48" s="3"/>
      <c r="KZ48" s="3"/>
      <c r="LA48" s="3"/>
      <c r="LB48" s="3"/>
      <c r="LC48" s="3"/>
      <c r="LD48" s="3"/>
      <c r="LE48" s="3"/>
      <c r="LF48" s="3"/>
      <c r="LG48" s="3"/>
      <c r="LH48" s="3"/>
      <c r="LI48" s="3"/>
      <c r="LJ48" s="3"/>
      <c r="LK48" s="3"/>
      <c r="LL48" s="3"/>
      <c r="LM48" s="3"/>
      <c r="LN48" s="3"/>
      <c r="LO48" s="3"/>
      <c r="LP48" s="3"/>
      <c r="LQ48" s="3"/>
      <c r="LR48" s="3"/>
      <c r="LS48" s="3"/>
      <c r="LT48" s="3"/>
      <c r="LU48" s="3"/>
      <c r="LV48" s="3"/>
      <c r="LW48" s="3"/>
      <c r="LX48" s="3"/>
      <c r="LY48" s="3"/>
      <c r="LZ48" s="3"/>
      <c r="MA48" s="3"/>
      <c r="MB48" s="3"/>
      <c r="MC48" s="3"/>
      <c r="MD48" s="3"/>
      <c r="ME48" s="3"/>
      <c r="MF48" s="3"/>
      <c r="MG48" s="3"/>
      <c r="MH48" s="3"/>
      <c r="MI48" s="3"/>
      <c r="MJ48" s="3"/>
      <c r="MK48" s="3"/>
      <c r="ML48" s="3"/>
      <c r="MM48" s="3"/>
      <c r="MN48" s="3"/>
      <c r="MO48" s="3"/>
      <c r="MP48" s="3"/>
      <c r="MQ48" s="3"/>
      <c r="MR48" s="3"/>
      <c r="MS48" s="3"/>
      <c r="MT48" s="3"/>
      <c r="MU48" s="3"/>
      <c r="MV48" s="3"/>
      <c r="MW48" s="3"/>
      <c r="MX48" s="3"/>
      <c r="MY48" s="3"/>
      <c r="MZ48" s="3"/>
      <c r="NA48" s="3"/>
      <c r="NB48" s="3"/>
      <c r="NC48" s="3"/>
      <c r="ND48" s="3"/>
      <c r="NE48" s="3"/>
      <c r="NF48" s="3"/>
      <c r="NG48" s="3"/>
      <c r="NH48" s="3"/>
      <c r="NI48" s="3"/>
      <c r="NJ48" s="3"/>
      <c r="NK48" s="3"/>
      <c r="NL48" s="3"/>
      <c r="NM48" s="3"/>
      <c r="NN48" s="3"/>
      <c r="NO48" s="3"/>
      <c r="NP48" s="3"/>
      <c r="NQ48" s="3"/>
      <c r="NR48" s="3"/>
      <c r="NS48" s="3"/>
      <c r="NT48" s="3"/>
      <c r="NU48" s="3"/>
      <c r="NV48" s="3"/>
      <c r="NW48" s="3"/>
      <c r="NX48" s="3"/>
      <c r="NY48" s="3"/>
      <c r="NZ48" s="3"/>
      <c r="OA48" s="3"/>
      <c r="OB48" s="3"/>
      <c r="OC48" s="3"/>
      <c r="OD48" s="3"/>
      <c r="OE48" s="3"/>
      <c r="OF48" s="3"/>
      <c r="OG48" s="3"/>
      <c r="OH48" s="3"/>
      <c r="OI48" s="3"/>
      <c r="OJ48" s="3"/>
      <c r="OK48" s="3"/>
      <c r="OL48" s="3"/>
      <c r="OM48" s="3"/>
      <c r="ON48" s="3"/>
      <c r="OO48" s="3"/>
      <c r="OP48" s="3"/>
      <c r="OQ48" s="3"/>
      <c r="OR48" s="3"/>
      <c r="OS48" s="3"/>
      <c r="OT48" s="3"/>
      <c r="OU48" s="3"/>
      <c r="OV48" s="3"/>
      <c r="OW48" s="3"/>
      <c r="OX48" s="3"/>
      <c r="OY48" s="3"/>
      <c r="OZ48" s="3"/>
      <c r="PA48" s="3"/>
      <c r="PB48" s="3"/>
      <c r="PC48" s="3"/>
      <c r="PD48" s="3"/>
      <c r="PE48" s="3"/>
      <c r="PF48" s="3"/>
      <c r="PG48" s="3"/>
      <c r="PH48" s="3"/>
      <c r="PI48" s="3"/>
      <c r="PJ48" s="3"/>
      <c r="PK48" s="3"/>
      <c r="PL48" s="3"/>
      <c r="PM48" s="3"/>
      <c r="PN48" s="3"/>
      <c r="PO48" s="3"/>
      <c r="PP48" s="3"/>
      <c r="PQ48" s="3"/>
      <c r="PR48" s="3"/>
      <c r="PS48" s="3"/>
      <c r="PT48" s="3"/>
      <c r="PU48" s="3"/>
      <c r="PV48" s="3"/>
      <c r="PW48" s="3"/>
      <c r="PX48" s="3"/>
      <c r="PY48" s="3"/>
      <c r="PZ48" s="3"/>
      <c r="QA48" s="3"/>
      <c r="QB48" s="3"/>
      <c r="QC48" s="3"/>
      <c r="QD48" s="3"/>
      <c r="QE48" s="3"/>
      <c r="QF48" s="3"/>
      <c r="QG48" s="3"/>
      <c r="QH48" s="3"/>
      <c r="QI48" s="3"/>
      <c r="QJ48" s="3"/>
      <c r="QK48" s="3"/>
      <c r="QL48" s="3"/>
      <c r="QM48" s="3"/>
      <c r="QN48" s="3"/>
      <c r="QO48" s="3"/>
      <c r="QP48" s="3"/>
      <c r="QQ48" s="3"/>
      <c r="QR48" s="3"/>
      <c r="QS48" s="3"/>
      <c r="QT48" s="3"/>
      <c r="QU48" s="3"/>
      <c r="QV48" s="3"/>
      <c r="QW48" s="3"/>
      <c r="QX48" s="3"/>
      <c r="QY48" s="3"/>
      <c r="QZ48" s="3"/>
      <c r="RA48" s="3"/>
      <c r="RB48" s="3"/>
      <c r="RC48" s="3"/>
      <c r="RD48" s="3"/>
      <c r="RE48" s="3"/>
      <c r="RF48" s="3"/>
      <c r="RG48" s="3"/>
      <c r="RH48" s="3"/>
      <c r="RI48" s="3"/>
      <c r="RJ48" s="3"/>
      <c r="RK48" s="3"/>
      <c r="RL48" s="3"/>
      <c r="RM48" s="3"/>
      <c r="RN48" s="3"/>
      <c r="RO48" s="3"/>
      <c r="RP48" s="3"/>
      <c r="RQ48" s="3"/>
      <c r="RR48" s="3"/>
      <c r="RS48" s="3"/>
      <c r="RT48" s="3"/>
      <c r="RU48" s="3"/>
      <c r="RV48" s="3"/>
      <c r="RW48" s="3"/>
      <c r="RX48" s="3"/>
      <c r="RY48" s="3"/>
      <c r="RZ48" s="3"/>
      <c r="SA48" s="3"/>
      <c r="SB48" s="3"/>
      <c r="SC48" s="3"/>
      <c r="SD48" s="3"/>
      <c r="SE48" s="3"/>
      <c r="SF48" s="3"/>
      <c r="SG48" s="3"/>
      <c r="SH48" s="3"/>
      <c r="SI48" s="3"/>
      <c r="SJ48" s="3"/>
      <c r="SK48" s="3"/>
      <c r="SL48" s="3"/>
      <c r="SM48" s="3"/>
      <c r="SN48" s="3"/>
      <c r="SO48" s="3"/>
      <c r="SP48" s="3"/>
      <c r="SQ48" s="3"/>
      <c r="SR48" s="3"/>
      <c r="SS48" s="3"/>
      <c r="ST48" s="3"/>
      <c r="SU48" s="3"/>
      <c r="SV48" s="3"/>
      <c r="SW48" s="3"/>
      <c r="SX48" s="3"/>
      <c r="SY48" s="3"/>
      <c r="SZ48" s="3"/>
      <c r="TA48" s="3"/>
      <c r="TB48" s="3"/>
      <c r="TC48" s="3"/>
      <c r="TD48" s="3"/>
      <c r="TE48" s="3"/>
      <c r="TF48" s="3"/>
      <c r="TG48" s="3"/>
      <c r="TH48" s="3"/>
      <c r="TI48" s="3"/>
      <c r="TJ48" s="3"/>
      <c r="TK48" s="3"/>
      <c r="TL48" s="3"/>
      <c r="TM48" s="3"/>
      <c r="TN48" s="3"/>
      <c r="TO48" s="3"/>
      <c r="TP48" s="3"/>
      <c r="TQ48" s="3"/>
      <c r="TR48" s="3"/>
      <c r="TS48" s="3"/>
      <c r="TT48" s="3"/>
      <c r="TU48" s="3"/>
      <c r="TV48" s="3"/>
      <c r="TW48" s="3"/>
      <c r="TX48" s="3"/>
      <c r="TY48" s="3"/>
      <c r="TZ48" s="3"/>
      <c r="UA48" s="3"/>
      <c r="UB48" s="3"/>
      <c r="UC48" s="3"/>
      <c r="UD48" s="3"/>
      <c r="UE48" s="3"/>
      <c r="UF48" s="3"/>
      <c r="UG48" s="3"/>
      <c r="UH48" s="3"/>
      <c r="UI48" s="3"/>
      <c r="UJ48" s="3"/>
      <c r="UK48" s="3"/>
      <c r="UL48" s="3"/>
      <c r="UM48" s="3"/>
      <c r="UN48" s="3"/>
      <c r="UO48" s="3"/>
      <c r="UP48" s="3"/>
      <c r="UQ48" s="3"/>
      <c r="UR48" s="3"/>
      <c r="US48" s="3"/>
      <c r="UT48" s="3"/>
      <c r="UU48" s="3"/>
      <c r="UV48" s="3"/>
      <c r="UW48" s="3"/>
      <c r="UX48" s="3"/>
      <c r="UY48" s="3"/>
      <c r="UZ48" s="3"/>
      <c r="VA48" s="3"/>
      <c r="VB48" s="3"/>
      <c r="VC48" s="3"/>
      <c r="VD48" s="3"/>
      <c r="VE48" s="3"/>
      <c r="VF48" s="3"/>
      <c r="VG48" s="3"/>
      <c r="VH48" s="3"/>
      <c r="VI48" s="3"/>
      <c r="VJ48" s="3"/>
      <c r="VK48" s="3"/>
      <c r="VL48" s="3"/>
      <c r="VM48" s="3"/>
      <c r="VN48" s="3"/>
      <c r="VO48" s="3"/>
      <c r="VP48" s="3"/>
      <c r="VQ48" s="3"/>
      <c r="VR48" s="3"/>
      <c r="VS48" s="3"/>
      <c r="VT48" s="3"/>
      <c r="VU48" s="3"/>
      <c r="VV48" s="3"/>
      <c r="VW48" s="3"/>
      <c r="VX48" s="3"/>
      <c r="VY48" s="3"/>
      <c r="VZ48" s="3"/>
      <c r="WA48" s="3"/>
      <c r="WB48" s="3"/>
      <c r="WC48" s="3"/>
      <c r="WD48" s="3"/>
      <c r="WE48" s="3"/>
      <c r="WF48" s="3"/>
      <c r="WG48" s="3"/>
      <c r="WH48" s="3"/>
      <c r="WI48" s="3"/>
      <c r="WJ48" s="3"/>
      <c r="WK48" s="3"/>
      <c r="WL48" s="3"/>
      <c r="WM48" s="3"/>
      <c r="WN48" s="3"/>
      <c r="WO48" s="3"/>
      <c r="WP48" s="3"/>
      <c r="WQ48" s="3"/>
      <c r="WR48" s="3"/>
      <c r="WS48" s="3"/>
      <c r="WT48" s="3"/>
      <c r="WU48" s="3"/>
      <c r="WV48" s="3"/>
      <c r="WW48" s="3"/>
      <c r="WX48" s="3"/>
      <c r="WY48" s="3"/>
      <c r="WZ48" s="3"/>
      <c r="XA48" s="3"/>
      <c r="XB48" s="3"/>
      <c r="XC48" s="3"/>
      <c r="XD48" s="3"/>
      <c r="XE48" s="3"/>
      <c r="XF48" s="3"/>
      <c r="XG48" s="3"/>
      <c r="XH48" s="3"/>
      <c r="XI48" s="3"/>
      <c r="XJ48" s="3"/>
      <c r="XK48" s="3"/>
      <c r="XL48" s="3"/>
      <c r="XM48" s="3"/>
      <c r="XN48" s="3"/>
      <c r="XO48" s="3"/>
      <c r="XP48" s="3"/>
      <c r="XQ48" s="3"/>
      <c r="XR48" s="3"/>
      <c r="XS48" s="3"/>
      <c r="XT48" s="3"/>
      <c r="XU48" s="3"/>
      <c r="XV48" s="3"/>
      <c r="XW48" s="3"/>
      <c r="XX48" s="3"/>
      <c r="XY48" s="3"/>
      <c r="XZ48" s="3"/>
      <c r="YA48" s="3"/>
      <c r="YB48" s="3"/>
      <c r="YC48" s="3"/>
      <c r="YD48" s="3"/>
      <c r="YE48" s="3"/>
      <c r="YF48" s="3"/>
      <c r="YG48" s="3"/>
      <c r="YH48" s="3"/>
      <c r="YI48" s="3"/>
      <c r="YJ48" s="3"/>
      <c r="YK48" s="3"/>
      <c r="YL48" s="3"/>
      <c r="YM48" s="3"/>
      <c r="YN48" s="3"/>
      <c r="YO48" s="3"/>
      <c r="YP48" s="3"/>
      <c r="YQ48" s="3"/>
      <c r="YR48" s="3"/>
      <c r="YS48" s="3"/>
      <c r="YT48" s="3"/>
      <c r="YU48" s="3"/>
      <c r="YV48" s="3"/>
      <c r="YW48" s="3"/>
      <c r="YX48" s="3"/>
      <c r="YY48" s="3"/>
      <c r="YZ48" s="3"/>
      <c r="ZA48" s="3"/>
      <c r="ZB48" s="3"/>
      <c r="ZC48" s="3"/>
      <c r="ZD48" s="3"/>
      <c r="ZE48" s="3"/>
      <c r="ZF48" s="3"/>
      <c r="ZG48" s="3"/>
      <c r="ZH48" s="3"/>
      <c r="ZI48" s="3"/>
      <c r="ZJ48" s="3"/>
      <c r="ZK48" s="3"/>
      <c r="ZL48" s="3"/>
      <c r="ZM48" s="3"/>
      <c r="ZN48" s="3"/>
      <c r="ZO48" s="3"/>
      <c r="ZP48" s="3"/>
      <c r="ZQ48" s="3"/>
      <c r="ZR48" s="3"/>
      <c r="ZS48" s="3"/>
      <c r="ZT48" s="3"/>
      <c r="ZU48" s="3"/>
      <c r="ZV48" s="3"/>
      <c r="ZW48" s="3"/>
      <c r="ZX48" s="3"/>
      <c r="ZY48" s="3"/>
      <c r="ZZ48" s="3"/>
      <c r="AAA48" s="3"/>
      <c r="AAB48" s="3"/>
      <c r="AAC48" s="3"/>
      <c r="AAD48" s="3"/>
      <c r="AAE48" s="3"/>
      <c r="AAF48" s="3"/>
      <c r="AAG48" s="3"/>
      <c r="AAH48" s="3"/>
      <c r="AAI48" s="3"/>
      <c r="AAJ48" s="3"/>
      <c r="AAK48" s="3"/>
      <c r="AAL48" s="3"/>
      <c r="AAM48" s="3"/>
      <c r="AAN48" s="3"/>
      <c r="AAO48" s="3"/>
      <c r="AAP48" s="3"/>
      <c r="AAQ48" s="3"/>
      <c r="AAR48" s="3"/>
      <c r="AAS48" s="3"/>
      <c r="AAT48" s="3"/>
      <c r="AAU48" s="3"/>
      <c r="AAV48" s="3"/>
      <c r="AAW48" s="3"/>
      <c r="AAX48" s="3"/>
      <c r="AAY48" s="3"/>
      <c r="AAZ48" s="3"/>
      <c r="ABA48" s="3"/>
      <c r="ABB48" s="3"/>
      <c r="ABC48" s="3"/>
      <c r="ABD48" s="3"/>
      <c r="ABE48" s="3"/>
      <c r="ABF48" s="3"/>
      <c r="ABG48" s="3"/>
      <c r="ABH48" s="3"/>
      <c r="ABI48" s="3"/>
      <c r="ABJ48" s="3"/>
      <c r="ABK48" s="3"/>
      <c r="ABL48" s="3"/>
      <c r="ABM48" s="3"/>
      <c r="ABN48" s="3"/>
      <c r="ABO48" s="3"/>
      <c r="ABP48" s="3"/>
      <c r="ABQ48" s="3"/>
      <c r="ABR48" s="3"/>
      <c r="ABS48" s="3"/>
      <c r="ABT48" s="3"/>
      <c r="ABU48" s="3"/>
      <c r="ABV48" s="3"/>
      <c r="ABW48" s="3"/>
      <c r="ABX48" s="3"/>
      <c r="ABY48" s="3"/>
      <c r="ABZ48" s="3"/>
      <c r="ACA48" s="3"/>
      <c r="ACB48" s="3"/>
      <c r="ACC48" s="3"/>
      <c r="ACD48" s="3"/>
      <c r="ACE48" s="3"/>
      <c r="ACF48" s="3"/>
      <c r="ACG48" s="3"/>
      <c r="ACH48" s="3"/>
      <c r="ACI48" s="3"/>
      <c r="ACJ48" s="3"/>
      <c r="ACK48" s="3"/>
      <c r="ACL48" s="3"/>
      <c r="ACM48" s="3"/>
      <c r="ACN48" s="3"/>
      <c r="ACO48" s="3"/>
      <c r="ACP48" s="3"/>
      <c r="ACQ48" s="3"/>
      <c r="ACR48" s="3"/>
      <c r="ACS48" s="3"/>
      <c r="ACT48" s="3"/>
      <c r="ACU48" s="3"/>
      <c r="ACV48" s="3"/>
      <c r="ACW48" s="3"/>
      <c r="ACX48" s="3"/>
      <c r="ACY48" s="3"/>
      <c r="ACZ48" s="3"/>
      <c r="ADA48" s="3"/>
      <c r="ADB48" s="3"/>
      <c r="ADC48" s="3"/>
      <c r="ADD48" s="3"/>
      <c r="ADE48" s="3"/>
      <c r="ADF48" s="3"/>
      <c r="ADG48" s="3"/>
      <c r="ADH48" s="3"/>
      <c r="ADI48" s="3"/>
      <c r="ADJ48" s="3"/>
      <c r="ADK48" s="3"/>
      <c r="ADL48" s="3"/>
      <c r="ADM48" s="3"/>
      <c r="ADN48" s="3"/>
      <c r="ADO48" s="3"/>
      <c r="ADP48" s="3"/>
      <c r="ADQ48" s="3"/>
      <c r="ADR48" s="3"/>
      <c r="ADS48" s="3"/>
      <c r="ADT48" s="3"/>
      <c r="ADU48" s="3"/>
      <c r="ADV48" s="3"/>
      <c r="ADW48" s="3"/>
      <c r="ADX48" s="3"/>
      <c r="ADY48" s="3"/>
      <c r="ADZ48" s="3"/>
      <c r="AEA48" s="3"/>
      <c r="AEB48" s="3"/>
      <c r="AEC48" s="3"/>
      <c r="AED48" s="3"/>
      <c r="AEE48" s="3"/>
      <c r="AEF48" s="3"/>
      <c r="AEG48" s="3"/>
      <c r="AEH48" s="3"/>
      <c r="AEI48" s="3"/>
      <c r="AEJ48" s="3"/>
      <c r="AEK48" s="3"/>
      <c r="AEL48" s="3"/>
      <c r="AEM48" s="3"/>
      <c r="AEN48" s="3"/>
      <c r="AEO48" s="3"/>
      <c r="AEP48" s="3"/>
      <c r="AEQ48" s="3"/>
      <c r="AER48" s="3"/>
      <c r="AES48" s="3"/>
      <c r="AET48" s="3"/>
      <c r="AEU48" s="3"/>
      <c r="AEV48" s="3"/>
      <c r="AEW48" s="3"/>
      <c r="AEX48" s="3"/>
      <c r="AEY48" s="3"/>
      <c r="AEZ48" s="3"/>
      <c r="AFA48" s="3"/>
      <c r="AFB48" s="3"/>
      <c r="AFC48" s="3"/>
      <c r="AFD48" s="3"/>
      <c r="AFE48" s="3"/>
      <c r="AFF48" s="3"/>
      <c r="AFG48" s="3"/>
      <c r="AFH48" s="3"/>
      <c r="AFI48" s="3"/>
      <c r="AFJ48" s="3"/>
      <c r="AFK48" s="3"/>
      <c r="AFL48" s="3"/>
      <c r="AFM48" s="3"/>
      <c r="AFN48" s="3"/>
      <c r="AFO48" s="3"/>
      <c r="AFP48" s="3"/>
      <c r="AFQ48" s="3"/>
      <c r="AFR48" s="3"/>
      <c r="AFS48" s="3"/>
      <c r="AFT48" s="3"/>
      <c r="AFU48" s="3"/>
      <c r="AFV48" s="3"/>
      <c r="AFW48" s="3"/>
      <c r="AFX48" s="3"/>
      <c r="AFY48" s="3"/>
      <c r="AFZ48" s="3"/>
      <c r="AGA48" s="3"/>
      <c r="AGB48" s="3"/>
      <c r="AGC48" s="3"/>
      <c r="AGD48" s="3"/>
      <c r="AGE48" s="3"/>
      <c r="AGF48" s="3"/>
      <c r="AGG48" s="3"/>
      <c r="AGH48" s="3"/>
      <c r="AGI48" s="3"/>
      <c r="AGJ48" s="3"/>
      <c r="AGK48" s="3"/>
      <c r="AGL48" s="3"/>
      <c r="AGM48" s="3"/>
      <c r="AGN48" s="3"/>
      <c r="AGO48" s="3"/>
      <c r="AGP48" s="3"/>
      <c r="AGQ48" s="3"/>
      <c r="AGR48" s="3"/>
      <c r="AGS48" s="3"/>
      <c r="AGT48" s="3"/>
      <c r="AGU48" s="3"/>
      <c r="AGV48" s="3"/>
      <c r="AGW48" s="3"/>
      <c r="AGX48" s="3"/>
      <c r="AGY48" s="3"/>
      <c r="AGZ48" s="3"/>
      <c r="AHA48" s="3"/>
      <c r="AHB48" s="3"/>
      <c r="AHC48" s="3"/>
      <c r="AHD48" s="3"/>
      <c r="AHE48" s="3"/>
      <c r="AHF48" s="3"/>
      <c r="AHG48" s="3"/>
      <c r="AHH48" s="3"/>
      <c r="AHI48" s="3"/>
      <c r="AHJ48" s="3"/>
      <c r="AHK48" s="3"/>
      <c r="AHL48" s="3"/>
      <c r="AHM48" s="3"/>
      <c r="AHN48" s="3"/>
      <c r="AHO48" s="3"/>
      <c r="AHP48" s="3"/>
      <c r="AHQ48" s="3"/>
      <c r="AHR48" s="3"/>
      <c r="AHS48" s="3"/>
      <c r="AHT48" s="3"/>
      <c r="AHU48" s="3"/>
      <c r="AHV48" s="3"/>
      <c r="AHW48" s="3"/>
      <c r="AHX48" s="3"/>
      <c r="AHY48" s="3"/>
      <c r="AHZ48" s="3"/>
      <c r="AIA48" s="3"/>
      <c r="AIB48" s="3"/>
      <c r="AIC48" s="3"/>
      <c r="AID48" s="3"/>
      <c r="AIE48" s="3"/>
      <c r="AIF48" s="3"/>
      <c r="AIG48" s="3"/>
      <c r="AIH48" s="3"/>
      <c r="AII48" s="3"/>
      <c r="AIJ48" s="3"/>
      <c r="AIK48" s="3"/>
      <c r="AIL48" s="3"/>
      <c r="AIM48" s="3"/>
      <c r="AIN48" s="3"/>
      <c r="AIO48" s="3"/>
      <c r="AIP48" s="3"/>
      <c r="AIQ48" s="3"/>
      <c r="AIR48" s="3"/>
      <c r="AIS48" s="3"/>
      <c r="AIT48" s="3"/>
      <c r="AIU48" s="3"/>
      <c r="AIV48" s="3"/>
      <c r="AIW48" s="3"/>
      <c r="AIX48" s="3"/>
      <c r="AIY48" s="3"/>
      <c r="AIZ48" s="3"/>
      <c r="AJA48" s="3"/>
      <c r="AJB48" s="3"/>
      <c r="AJC48" s="3"/>
      <c r="AJD48" s="3"/>
      <c r="AJE48" s="3"/>
      <c r="AJF48" s="3"/>
      <c r="AJG48" s="3"/>
      <c r="AJH48" s="3"/>
      <c r="AJI48" s="3"/>
      <c r="AJJ48" s="3"/>
      <c r="AJK48" s="3"/>
      <c r="AJL48" s="3"/>
      <c r="AJM48" s="3"/>
      <c r="AJN48" s="3"/>
      <c r="AJO48" s="3"/>
      <c r="AJP48" s="3"/>
      <c r="AJQ48" s="3"/>
      <c r="AJR48" s="3"/>
      <c r="AJS48" s="3"/>
      <c r="AJT48" s="3"/>
      <c r="AJU48" s="3"/>
      <c r="AJV48" s="3"/>
      <c r="AJW48" s="3"/>
      <c r="AJX48" s="3"/>
      <c r="AJY48" s="3"/>
      <c r="AJZ48" s="3"/>
      <c r="AKA48" s="3"/>
      <c r="AKB48" s="3"/>
      <c r="AKC48" s="3"/>
      <c r="AKD48" s="3"/>
      <c r="AKE48" s="3"/>
      <c r="AKF48" s="3"/>
      <c r="AKG48" s="3"/>
      <c r="AKH48" s="3"/>
      <c r="AKI48" s="3"/>
      <c r="AKJ48" s="3"/>
      <c r="AKK48" s="3"/>
      <c r="AKL48" s="3"/>
      <c r="AKM48" s="3"/>
      <c r="AKN48" s="3"/>
      <c r="AKO48" s="3"/>
      <c r="AKP48" s="3"/>
      <c r="AKQ48" s="3"/>
      <c r="AKR48" s="3"/>
      <c r="AKS48" s="3"/>
      <c r="AKT48" s="3"/>
      <c r="AKU48" s="3"/>
      <c r="AKV48" s="3"/>
      <c r="AKW48" s="3"/>
      <c r="AKX48" s="3"/>
      <c r="AKY48" s="3"/>
      <c r="AKZ48" s="3"/>
      <c r="ALA48" s="3"/>
      <c r="ALB48" s="3"/>
      <c r="ALC48" s="3"/>
      <c r="ALD48" s="3"/>
      <c r="ALE48" s="3"/>
      <c r="ALF48" s="3"/>
      <c r="ALG48" s="3"/>
      <c r="ALH48" s="3"/>
      <c r="ALI48" s="3"/>
      <c r="ALJ48" s="3"/>
      <c r="ALK48" s="3"/>
      <c r="ALL48" s="3"/>
      <c r="ALM48" s="3"/>
      <c r="ALN48" s="3"/>
      <c r="ALO48" s="3"/>
      <c r="ALP48" s="3"/>
      <c r="ALQ48" s="3"/>
      <c r="ALR48" s="3"/>
      <c r="ALS48" s="3"/>
      <c r="ALT48" s="3"/>
      <c r="ALU48" s="3"/>
      <c r="ALV48" s="3"/>
      <c r="ALW48" s="3"/>
      <c r="ALX48" s="3"/>
      <c r="ALY48" s="3"/>
      <c r="ALZ48" s="3"/>
      <c r="AMA48" s="3"/>
      <c r="AMB48" s="3"/>
      <c r="AMC48" s="3"/>
      <c r="AMD48" s="3"/>
      <c r="AME48" s="3"/>
      <c r="AMF48" s="3"/>
      <c r="AMG48" s="3"/>
      <c r="AMH48" s="3"/>
      <c r="AMI48" s="3"/>
      <c r="AMJ48" s="3"/>
      <c r="AMK48" s="3"/>
    </row>
    <row r="49" spans="1:1025" x14ac:dyDescent="0.25">
      <c r="A49" s="19" t="s">
        <v>327</v>
      </c>
      <c r="B49" s="3">
        <v>80</v>
      </c>
      <c r="C49" s="3" t="s">
        <v>55</v>
      </c>
      <c r="D49" s="3" t="s">
        <v>100</v>
      </c>
      <c r="E49" s="3"/>
      <c r="F49" s="3">
        <v>0</v>
      </c>
      <c r="G49" s="3">
        <v>4294967294</v>
      </c>
      <c r="H49" s="3"/>
      <c r="I49" s="3" t="s">
        <v>101</v>
      </c>
      <c r="K49" s="22"/>
      <c r="L49" s="1"/>
      <c r="M49" s="1"/>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c r="FZ49" s="3"/>
      <c r="GA49" s="3"/>
      <c r="GB49" s="3"/>
      <c r="GC49" s="3"/>
      <c r="GD49" s="3"/>
      <c r="GE49" s="3"/>
      <c r="GF49" s="3"/>
      <c r="GG49" s="3"/>
      <c r="GH49" s="3"/>
      <c r="GI49" s="3"/>
      <c r="GJ49" s="3"/>
      <c r="GK49" s="3"/>
      <c r="GL49" s="3"/>
      <c r="GM49" s="3"/>
      <c r="GN49" s="3"/>
      <c r="GO49" s="3"/>
      <c r="GP49" s="3"/>
      <c r="GQ49" s="3"/>
      <c r="GR49" s="3"/>
      <c r="GS49" s="3"/>
      <c r="GT49" s="3"/>
      <c r="GU49" s="3"/>
      <c r="GV49" s="3"/>
      <c r="GW49" s="3"/>
      <c r="GX49" s="3"/>
      <c r="GY49" s="3"/>
      <c r="GZ49" s="3"/>
      <c r="HA49" s="3"/>
      <c r="HB49" s="3"/>
      <c r="HC49" s="3"/>
      <c r="HD49" s="3"/>
      <c r="HE49" s="3"/>
      <c r="HF49" s="3"/>
      <c r="HG49" s="3"/>
      <c r="HH49" s="3"/>
      <c r="HI49" s="3"/>
      <c r="HJ49" s="3"/>
      <c r="HK49" s="3"/>
      <c r="HL49" s="3"/>
      <c r="HM49" s="3"/>
      <c r="HN49" s="3"/>
      <c r="HO49" s="3"/>
      <c r="HP49" s="3"/>
      <c r="HQ49" s="3"/>
      <c r="HR49" s="3"/>
      <c r="HS49" s="3"/>
      <c r="HT49" s="3"/>
      <c r="HU49" s="3"/>
      <c r="HV49" s="3"/>
      <c r="HW49" s="3"/>
      <c r="HX49" s="3"/>
      <c r="HY49" s="3"/>
      <c r="HZ49" s="3"/>
      <c r="IA49" s="3"/>
      <c r="IB49" s="3"/>
      <c r="IC49" s="3"/>
      <c r="ID49" s="3"/>
      <c r="IE49" s="3"/>
      <c r="IF49" s="3"/>
      <c r="IG49" s="3"/>
      <c r="IH49" s="3"/>
      <c r="II49" s="3"/>
      <c r="IJ49" s="3"/>
      <c r="IK49" s="3"/>
      <c r="IL49" s="3"/>
      <c r="IM49" s="3"/>
      <c r="IN49" s="3"/>
      <c r="IO49" s="3"/>
      <c r="IP49" s="3"/>
      <c r="IQ49" s="3"/>
      <c r="IR49" s="3"/>
      <c r="IS49" s="3"/>
      <c r="IT49" s="3"/>
      <c r="IU49" s="3"/>
      <c r="IV49" s="3"/>
      <c r="IW49" s="3"/>
      <c r="IX49" s="3"/>
      <c r="IY49" s="3"/>
      <c r="IZ49" s="3"/>
      <c r="JA49" s="3"/>
      <c r="JB49" s="3"/>
      <c r="JC49" s="3"/>
      <c r="JD49" s="3"/>
      <c r="JE49" s="3"/>
      <c r="JF49" s="3"/>
      <c r="JG49" s="3"/>
      <c r="JH49" s="3"/>
      <c r="JI49" s="3"/>
      <c r="JJ49" s="3"/>
      <c r="JK49" s="3"/>
      <c r="JL49" s="3"/>
      <c r="JM49" s="3"/>
      <c r="JN49" s="3"/>
      <c r="JO49" s="3"/>
      <c r="JP49" s="3"/>
      <c r="JQ49" s="3"/>
      <c r="JR49" s="3"/>
      <c r="JS49" s="3"/>
      <c r="JT49" s="3"/>
      <c r="JU49" s="3"/>
      <c r="JV49" s="3"/>
      <c r="JW49" s="3"/>
      <c r="JX49" s="3"/>
      <c r="JY49" s="3"/>
      <c r="JZ49" s="3"/>
      <c r="KA49" s="3"/>
      <c r="KB49" s="3"/>
      <c r="KC49" s="3"/>
      <c r="KD49" s="3"/>
      <c r="KE49" s="3"/>
      <c r="KF49" s="3"/>
      <c r="KG49" s="3"/>
      <c r="KH49" s="3"/>
      <c r="KI49" s="3"/>
      <c r="KJ49" s="3"/>
      <c r="KK49" s="3"/>
      <c r="KL49" s="3"/>
      <c r="KM49" s="3"/>
      <c r="KN49" s="3"/>
      <c r="KO49" s="3"/>
      <c r="KP49" s="3"/>
      <c r="KQ49" s="3"/>
      <c r="KR49" s="3"/>
      <c r="KS49" s="3"/>
      <c r="KT49" s="3"/>
      <c r="KU49" s="3"/>
      <c r="KV49" s="3"/>
      <c r="KW49" s="3"/>
      <c r="KX49" s="3"/>
      <c r="KY49" s="3"/>
      <c r="KZ49" s="3"/>
      <c r="LA49" s="3"/>
      <c r="LB49" s="3"/>
      <c r="LC49" s="3"/>
      <c r="LD49" s="3"/>
      <c r="LE49" s="3"/>
      <c r="LF49" s="3"/>
      <c r="LG49" s="3"/>
      <c r="LH49" s="3"/>
      <c r="LI49" s="3"/>
      <c r="LJ49" s="3"/>
      <c r="LK49" s="3"/>
      <c r="LL49" s="3"/>
      <c r="LM49" s="3"/>
      <c r="LN49" s="3"/>
      <c r="LO49" s="3"/>
      <c r="LP49" s="3"/>
      <c r="LQ49" s="3"/>
      <c r="LR49" s="3"/>
      <c r="LS49" s="3"/>
      <c r="LT49" s="3"/>
      <c r="LU49" s="3"/>
      <c r="LV49" s="3"/>
      <c r="LW49" s="3"/>
      <c r="LX49" s="3"/>
      <c r="LY49" s="3"/>
      <c r="LZ49" s="3"/>
      <c r="MA49" s="3"/>
      <c r="MB49" s="3"/>
      <c r="MC49" s="3"/>
      <c r="MD49" s="3"/>
      <c r="ME49" s="3"/>
      <c r="MF49" s="3"/>
      <c r="MG49" s="3"/>
      <c r="MH49" s="3"/>
      <c r="MI49" s="3"/>
      <c r="MJ49" s="3"/>
      <c r="MK49" s="3"/>
      <c r="ML49" s="3"/>
      <c r="MM49" s="3"/>
      <c r="MN49" s="3"/>
      <c r="MO49" s="3"/>
      <c r="MP49" s="3"/>
      <c r="MQ49" s="3"/>
      <c r="MR49" s="3"/>
      <c r="MS49" s="3"/>
      <c r="MT49" s="3"/>
      <c r="MU49" s="3"/>
      <c r="MV49" s="3"/>
      <c r="MW49" s="3"/>
      <c r="MX49" s="3"/>
      <c r="MY49" s="3"/>
      <c r="MZ49" s="3"/>
      <c r="NA49" s="3"/>
      <c r="NB49" s="3"/>
      <c r="NC49" s="3"/>
      <c r="ND49" s="3"/>
      <c r="NE49" s="3"/>
      <c r="NF49" s="3"/>
      <c r="NG49" s="3"/>
      <c r="NH49" s="3"/>
      <c r="NI49" s="3"/>
      <c r="NJ49" s="3"/>
      <c r="NK49" s="3"/>
      <c r="NL49" s="3"/>
      <c r="NM49" s="3"/>
      <c r="NN49" s="3"/>
      <c r="NO49" s="3"/>
      <c r="NP49" s="3"/>
      <c r="NQ49" s="3"/>
      <c r="NR49" s="3"/>
      <c r="NS49" s="3"/>
      <c r="NT49" s="3"/>
      <c r="NU49" s="3"/>
      <c r="NV49" s="3"/>
      <c r="NW49" s="3"/>
      <c r="NX49" s="3"/>
      <c r="NY49" s="3"/>
      <c r="NZ49" s="3"/>
      <c r="OA49" s="3"/>
      <c r="OB49" s="3"/>
      <c r="OC49" s="3"/>
      <c r="OD49" s="3"/>
      <c r="OE49" s="3"/>
      <c r="OF49" s="3"/>
      <c r="OG49" s="3"/>
      <c r="OH49" s="3"/>
      <c r="OI49" s="3"/>
      <c r="OJ49" s="3"/>
      <c r="OK49" s="3"/>
      <c r="OL49" s="3"/>
      <c r="OM49" s="3"/>
      <c r="ON49" s="3"/>
      <c r="OO49" s="3"/>
      <c r="OP49" s="3"/>
      <c r="OQ49" s="3"/>
      <c r="OR49" s="3"/>
      <c r="OS49" s="3"/>
      <c r="OT49" s="3"/>
      <c r="OU49" s="3"/>
      <c r="OV49" s="3"/>
      <c r="OW49" s="3"/>
      <c r="OX49" s="3"/>
      <c r="OY49" s="3"/>
      <c r="OZ49" s="3"/>
      <c r="PA49" s="3"/>
      <c r="PB49" s="3"/>
      <c r="PC49" s="3"/>
      <c r="PD49" s="3"/>
      <c r="PE49" s="3"/>
      <c r="PF49" s="3"/>
      <c r="PG49" s="3"/>
      <c r="PH49" s="3"/>
      <c r="PI49" s="3"/>
      <c r="PJ49" s="3"/>
      <c r="PK49" s="3"/>
      <c r="PL49" s="3"/>
      <c r="PM49" s="3"/>
      <c r="PN49" s="3"/>
      <c r="PO49" s="3"/>
      <c r="PP49" s="3"/>
      <c r="PQ49" s="3"/>
      <c r="PR49" s="3"/>
      <c r="PS49" s="3"/>
      <c r="PT49" s="3"/>
      <c r="PU49" s="3"/>
      <c r="PV49" s="3"/>
      <c r="PW49" s="3"/>
      <c r="PX49" s="3"/>
      <c r="PY49" s="3"/>
      <c r="PZ49" s="3"/>
      <c r="QA49" s="3"/>
      <c r="QB49" s="3"/>
      <c r="QC49" s="3"/>
      <c r="QD49" s="3"/>
      <c r="QE49" s="3"/>
      <c r="QF49" s="3"/>
      <c r="QG49" s="3"/>
      <c r="QH49" s="3"/>
      <c r="QI49" s="3"/>
      <c r="QJ49" s="3"/>
      <c r="QK49" s="3"/>
      <c r="QL49" s="3"/>
      <c r="QM49" s="3"/>
      <c r="QN49" s="3"/>
      <c r="QO49" s="3"/>
      <c r="QP49" s="3"/>
      <c r="QQ49" s="3"/>
      <c r="QR49" s="3"/>
      <c r="QS49" s="3"/>
      <c r="QT49" s="3"/>
      <c r="QU49" s="3"/>
      <c r="QV49" s="3"/>
      <c r="QW49" s="3"/>
      <c r="QX49" s="3"/>
      <c r="QY49" s="3"/>
      <c r="QZ49" s="3"/>
      <c r="RA49" s="3"/>
      <c r="RB49" s="3"/>
      <c r="RC49" s="3"/>
      <c r="RD49" s="3"/>
      <c r="RE49" s="3"/>
      <c r="RF49" s="3"/>
      <c r="RG49" s="3"/>
      <c r="RH49" s="3"/>
      <c r="RI49" s="3"/>
      <c r="RJ49" s="3"/>
      <c r="RK49" s="3"/>
      <c r="RL49" s="3"/>
      <c r="RM49" s="3"/>
      <c r="RN49" s="3"/>
      <c r="RO49" s="3"/>
      <c r="RP49" s="3"/>
      <c r="RQ49" s="3"/>
      <c r="RR49" s="3"/>
      <c r="RS49" s="3"/>
      <c r="RT49" s="3"/>
      <c r="RU49" s="3"/>
      <c r="RV49" s="3"/>
      <c r="RW49" s="3"/>
      <c r="RX49" s="3"/>
      <c r="RY49" s="3"/>
      <c r="RZ49" s="3"/>
      <c r="SA49" s="3"/>
      <c r="SB49" s="3"/>
      <c r="SC49" s="3"/>
      <c r="SD49" s="3"/>
      <c r="SE49" s="3"/>
      <c r="SF49" s="3"/>
      <c r="SG49" s="3"/>
      <c r="SH49" s="3"/>
      <c r="SI49" s="3"/>
      <c r="SJ49" s="3"/>
      <c r="SK49" s="3"/>
      <c r="SL49" s="3"/>
      <c r="SM49" s="3"/>
      <c r="SN49" s="3"/>
      <c r="SO49" s="3"/>
      <c r="SP49" s="3"/>
      <c r="SQ49" s="3"/>
      <c r="SR49" s="3"/>
      <c r="SS49" s="3"/>
      <c r="ST49" s="3"/>
      <c r="SU49" s="3"/>
      <c r="SV49" s="3"/>
      <c r="SW49" s="3"/>
      <c r="SX49" s="3"/>
      <c r="SY49" s="3"/>
      <c r="SZ49" s="3"/>
      <c r="TA49" s="3"/>
      <c r="TB49" s="3"/>
      <c r="TC49" s="3"/>
      <c r="TD49" s="3"/>
      <c r="TE49" s="3"/>
      <c r="TF49" s="3"/>
      <c r="TG49" s="3"/>
      <c r="TH49" s="3"/>
      <c r="TI49" s="3"/>
      <c r="TJ49" s="3"/>
      <c r="TK49" s="3"/>
      <c r="TL49" s="3"/>
      <c r="TM49" s="3"/>
      <c r="TN49" s="3"/>
      <c r="TO49" s="3"/>
      <c r="TP49" s="3"/>
      <c r="TQ49" s="3"/>
      <c r="TR49" s="3"/>
      <c r="TS49" s="3"/>
      <c r="TT49" s="3"/>
      <c r="TU49" s="3"/>
      <c r="TV49" s="3"/>
      <c r="TW49" s="3"/>
      <c r="TX49" s="3"/>
      <c r="TY49" s="3"/>
      <c r="TZ49" s="3"/>
      <c r="UA49" s="3"/>
      <c r="UB49" s="3"/>
      <c r="UC49" s="3"/>
      <c r="UD49" s="3"/>
      <c r="UE49" s="3"/>
      <c r="UF49" s="3"/>
      <c r="UG49" s="3"/>
      <c r="UH49" s="3"/>
      <c r="UI49" s="3"/>
      <c r="UJ49" s="3"/>
      <c r="UK49" s="3"/>
      <c r="UL49" s="3"/>
      <c r="UM49" s="3"/>
      <c r="UN49" s="3"/>
      <c r="UO49" s="3"/>
      <c r="UP49" s="3"/>
      <c r="UQ49" s="3"/>
      <c r="UR49" s="3"/>
      <c r="US49" s="3"/>
      <c r="UT49" s="3"/>
      <c r="UU49" s="3"/>
      <c r="UV49" s="3"/>
      <c r="UW49" s="3"/>
      <c r="UX49" s="3"/>
      <c r="UY49" s="3"/>
      <c r="UZ49" s="3"/>
      <c r="VA49" s="3"/>
      <c r="VB49" s="3"/>
      <c r="VC49" s="3"/>
      <c r="VD49" s="3"/>
      <c r="VE49" s="3"/>
      <c r="VF49" s="3"/>
      <c r="VG49" s="3"/>
      <c r="VH49" s="3"/>
      <c r="VI49" s="3"/>
      <c r="VJ49" s="3"/>
      <c r="VK49" s="3"/>
      <c r="VL49" s="3"/>
      <c r="VM49" s="3"/>
      <c r="VN49" s="3"/>
      <c r="VO49" s="3"/>
      <c r="VP49" s="3"/>
      <c r="VQ49" s="3"/>
      <c r="VR49" s="3"/>
      <c r="VS49" s="3"/>
      <c r="VT49" s="3"/>
      <c r="VU49" s="3"/>
      <c r="VV49" s="3"/>
      <c r="VW49" s="3"/>
      <c r="VX49" s="3"/>
      <c r="VY49" s="3"/>
      <c r="VZ49" s="3"/>
      <c r="WA49" s="3"/>
      <c r="WB49" s="3"/>
      <c r="WC49" s="3"/>
      <c r="WD49" s="3"/>
      <c r="WE49" s="3"/>
      <c r="WF49" s="3"/>
      <c r="WG49" s="3"/>
      <c r="WH49" s="3"/>
      <c r="WI49" s="3"/>
      <c r="WJ49" s="3"/>
      <c r="WK49" s="3"/>
      <c r="WL49" s="3"/>
      <c r="WM49" s="3"/>
      <c r="WN49" s="3"/>
      <c r="WO49" s="3"/>
      <c r="WP49" s="3"/>
      <c r="WQ49" s="3"/>
      <c r="WR49" s="3"/>
      <c r="WS49" s="3"/>
      <c r="WT49" s="3"/>
      <c r="WU49" s="3"/>
      <c r="WV49" s="3"/>
      <c r="WW49" s="3"/>
      <c r="WX49" s="3"/>
      <c r="WY49" s="3"/>
      <c r="WZ49" s="3"/>
      <c r="XA49" s="3"/>
      <c r="XB49" s="3"/>
      <c r="XC49" s="3"/>
      <c r="XD49" s="3"/>
      <c r="XE49" s="3"/>
      <c r="XF49" s="3"/>
      <c r="XG49" s="3"/>
      <c r="XH49" s="3"/>
      <c r="XI49" s="3"/>
      <c r="XJ49" s="3"/>
      <c r="XK49" s="3"/>
      <c r="XL49" s="3"/>
      <c r="XM49" s="3"/>
      <c r="XN49" s="3"/>
      <c r="XO49" s="3"/>
      <c r="XP49" s="3"/>
      <c r="XQ49" s="3"/>
      <c r="XR49" s="3"/>
      <c r="XS49" s="3"/>
      <c r="XT49" s="3"/>
      <c r="XU49" s="3"/>
      <c r="XV49" s="3"/>
      <c r="XW49" s="3"/>
      <c r="XX49" s="3"/>
      <c r="XY49" s="3"/>
      <c r="XZ49" s="3"/>
      <c r="YA49" s="3"/>
      <c r="YB49" s="3"/>
      <c r="YC49" s="3"/>
      <c r="YD49" s="3"/>
      <c r="YE49" s="3"/>
      <c r="YF49" s="3"/>
      <c r="YG49" s="3"/>
      <c r="YH49" s="3"/>
      <c r="YI49" s="3"/>
      <c r="YJ49" s="3"/>
      <c r="YK49" s="3"/>
      <c r="YL49" s="3"/>
      <c r="YM49" s="3"/>
      <c r="YN49" s="3"/>
      <c r="YO49" s="3"/>
      <c r="YP49" s="3"/>
      <c r="YQ49" s="3"/>
      <c r="YR49" s="3"/>
      <c r="YS49" s="3"/>
      <c r="YT49" s="3"/>
      <c r="YU49" s="3"/>
      <c r="YV49" s="3"/>
      <c r="YW49" s="3"/>
      <c r="YX49" s="3"/>
      <c r="YY49" s="3"/>
      <c r="YZ49" s="3"/>
      <c r="ZA49" s="3"/>
      <c r="ZB49" s="3"/>
      <c r="ZC49" s="3"/>
      <c r="ZD49" s="3"/>
      <c r="ZE49" s="3"/>
      <c r="ZF49" s="3"/>
      <c r="ZG49" s="3"/>
      <c r="ZH49" s="3"/>
      <c r="ZI49" s="3"/>
      <c r="ZJ49" s="3"/>
      <c r="ZK49" s="3"/>
      <c r="ZL49" s="3"/>
      <c r="ZM49" s="3"/>
      <c r="ZN49" s="3"/>
      <c r="ZO49" s="3"/>
      <c r="ZP49" s="3"/>
      <c r="ZQ49" s="3"/>
      <c r="ZR49" s="3"/>
      <c r="ZS49" s="3"/>
      <c r="ZT49" s="3"/>
      <c r="ZU49" s="3"/>
      <c r="ZV49" s="3"/>
      <c r="ZW49" s="3"/>
      <c r="ZX49" s="3"/>
      <c r="ZY49" s="3"/>
      <c r="ZZ49" s="3"/>
      <c r="AAA49" s="3"/>
      <c r="AAB49" s="3"/>
      <c r="AAC49" s="3"/>
      <c r="AAD49" s="3"/>
      <c r="AAE49" s="3"/>
      <c r="AAF49" s="3"/>
      <c r="AAG49" s="3"/>
      <c r="AAH49" s="3"/>
      <c r="AAI49" s="3"/>
      <c r="AAJ49" s="3"/>
      <c r="AAK49" s="3"/>
      <c r="AAL49" s="3"/>
      <c r="AAM49" s="3"/>
      <c r="AAN49" s="3"/>
      <c r="AAO49" s="3"/>
      <c r="AAP49" s="3"/>
      <c r="AAQ49" s="3"/>
      <c r="AAR49" s="3"/>
      <c r="AAS49" s="3"/>
      <c r="AAT49" s="3"/>
      <c r="AAU49" s="3"/>
      <c r="AAV49" s="3"/>
      <c r="AAW49" s="3"/>
      <c r="AAX49" s="3"/>
      <c r="AAY49" s="3"/>
      <c r="AAZ49" s="3"/>
      <c r="ABA49" s="3"/>
      <c r="ABB49" s="3"/>
      <c r="ABC49" s="3"/>
      <c r="ABD49" s="3"/>
      <c r="ABE49" s="3"/>
      <c r="ABF49" s="3"/>
      <c r="ABG49" s="3"/>
      <c r="ABH49" s="3"/>
      <c r="ABI49" s="3"/>
      <c r="ABJ49" s="3"/>
      <c r="ABK49" s="3"/>
      <c r="ABL49" s="3"/>
      <c r="ABM49" s="3"/>
      <c r="ABN49" s="3"/>
      <c r="ABO49" s="3"/>
      <c r="ABP49" s="3"/>
      <c r="ABQ49" s="3"/>
      <c r="ABR49" s="3"/>
      <c r="ABS49" s="3"/>
      <c r="ABT49" s="3"/>
      <c r="ABU49" s="3"/>
      <c r="ABV49" s="3"/>
      <c r="ABW49" s="3"/>
      <c r="ABX49" s="3"/>
      <c r="ABY49" s="3"/>
      <c r="ABZ49" s="3"/>
      <c r="ACA49" s="3"/>
      <c r="ACB49" s="3"/>
      <c r="ACC49" s="3"/>
      <c r="ACD49" s="3"/>
      <c r="ACE49" s="3"/>
      <c r="ACF49" s="3"/>
      <c r="ACG49" s="3"/>
      <c r="ACH49" s="3"/>
      <c r="ACI49" s="3"/>
      <c r="ACJ49" s="3"/>
      <c r="ACK49" s="3"/>
      <c r="ACL49" s="3"/>
      <c r="ACM49" s="3"/>
      <c r="ACN49" s="3"/>
      <c r="ACO49" s="3"/>
      <c r="ACP49" s="3"/>
      <c r="ACQ49" s="3"/>
      <c r="ACR49" s="3"/>
      <c r="ACS49" s="3"/>
      <c r="ACT49" s="3"/>
      <c r="ACU49" s="3"/>
      <c r="ACV49" s="3"/>
      <c r="ACW49" s="3"/>
      <c r="ACX49" s="3"/>
      <c r="ACY49" s="3"/>
      <c r="ACZ49" s="3"/>
      <c r="ADA49" s="3"/>
      <c r="ADB49" s="3"/>
      <c r="ADC49" s="3"/>
      <c r="ADD49" s="3"/>
      <c r="ADE49" s="3"/>
      <c r="ADF49" s="3"/>
      <c r="ADG49" s="3"/>
      <c r="ADH49" s="3"/>
      <c r="ADI49" s="3"/>
      <c r="ADJ49" s="3"/>
      <c r="ADK49" s="3"/>
      <c r="ADL49" s="3"/>
      <c r="ADM49" s="3"/>
      <c r="ADN49" s="3"/>
      <c r="ADO49" s="3"/>
      <c r="ADP49" s="3"/>
      <c r="ADQ49" s="3"/>
      <c r="ADR49" s="3"/>
      <c r="ADS49" s="3"/>
      <c r="ADT49" s="3"/>
      <c r="ADU49" s="3"/>
      <c r="ADV49" s="3"/>
      <c r="ADW49" s="3"/>
      <c r="ADX49" s="3"/>
      <c r="ADY49" s="3"/>
      <c r="ADZ49" s="3"/>
      <c r="AEA49" s="3"/>
      <c r="AEB49" s="3"/>
      <c r="AEC49" s="3"/>
      <c r="AED49" s="3"/>
      <c r="AEE49" s="3"/>
      <c r="AEF49" s="3"/>
      <c r="AEG49" s="3"/>
      <c r="AEH49" s="3"/>
      <c r="AEI49" s="3"/>
      <c r="AEJ49" s="3"/>
      <c r="AEK49" s="3"/>
      <c r="AEL49" s="3"/>
      <c r="AEM49" s="3"/>
      <c r="AEN49" s="3"/>
      <c r="AEO49" s="3"/>
      <c r="AEP49" s="3"/>
      <c r="AEQ49" s="3"/>
      <c r="AER49" s="3"/>
      <c r="AES49" s="3"/>
      <c r="AET49" s="3"/>
      <c r="AEU49" s="3"/>
      <c r="AEV49" s="3"/>
      <c r="AEW49" s="3"/>
      <c r="AEX49" s="3"/>
      <c r="AEY49" s="3"/>
      <c r="AEZ49" s="3"/>
      <c r="AFA49" s="3"/>
      <c r="AFB49" s="3"/>
      <c r="AFC49" s="3"/>
      <c r="AFD49" s="3"/>
      <c r="AFE49" s="3"/>
      <c r="AFF49" s="3"/>
      <c r="AFG49" s="3"/>
      <c r="AFH49" s="3"/>
      <c r="AFI49" s="3"/>
      <c r="AFJ49" s="3"/>
      <c r="AFK49" s="3"/>
      <c r="AFL49" s="3"/>
      <c r="AFM49" s="3"/>
      <c r="AFN49" s="3"/>
      <c r="AFO49" s="3"/>
      <c r="AFP49" s="3"/>
      <c r="AFQ49" s="3"/>
      <c r="AFR49" s="3"/>
      <c r="AFS49" s="3"/>
      <c r="AFT49" s="3"/>
      <c r="AFU49" s="3"/>
      <c r="AFV49" s="3"/>
      <c r="AFW49" s="3"/>
      <c r="AFX49" s="3"/>
      <c r="AFY49" s="3"/>
      <c r="AFZ49" s="3"/>
      <c r="AGA49" s="3"/>
      <c r="AGB49" s="3"/>
      <c r="AGC49" s="3"/>
      <c r="AGD49" s="3"/>
      <c r="AGE49" s="3"/>
      <c r="AGF49" s="3"/>
      <c r="AGG49" s="3"/>
      <c r="AGH49" s="3"/>
      <c r="AGI49" s="3"/>
      <c r="AGJ49" s="3"/>
      <c r="AGK49" s="3"/>
      <c r="AGL49" s="3"/>
      <c r="AGM49" s="3"/>
      <c r="AGN49" s="3"/>
      <c r="AGO49" s="3"/>
      <c r="AGP49" s="3"/>
      <c r="AGQ49" s="3"/>
      <c r="AGR49" s="3"/>
      <c r="AGS49" s="3"/>
      <c r="AGT49" s="3"/>
      <c r="AGU49" s="3"/>
      <c r="AGV49" s="3"/>
      <c r="AGW49" s="3"/>
      <c r="AGX49" s="3"/>
      <c r="AGY49" s="3"/>
      <c r="AGZ49" s="3"/>
      <c r="AHA49" s="3"/>
      <c r="AHB49" s="3"/>
      <c r="AHC49" s="3"/>
      <c r="AHD49" s="3"/>
      <c r="AHE49" s="3"/>
      <c r="AHF49" s="3"/>
      <c r="AHG49" s="3"/>
      <c r="AHH49" s="3"/>
      <c r="AHI49" s="3"/>
      <c r="AHJ49" s="3"/>
      <c r="AHK49" s="3"/>
      <c r="AHL49" s="3"/>
      <c r="AHM49" s="3"/>
      <c r="AHN49" s="3"/>
      <c r="AHO49" s="3"/>
      <c r="AHP49" s="3"/>
      <c r="AHQ49" s="3"/>
      <c r="AHR49" s="3"/>
      <c r="AHS49" s="3"/>
      <c r="AHT49" s="3"/>
      <c r="AHU49" s="3"/>
      <c r="AHV49" s="3"/>
      <c r="AHW49" s="3"/>
      <c r="AHX49" s="3"/>
      <c r="AHY49" s="3"/>
      <c r="AHZ49" s="3"/>
      <c r="AIA49" s="3"/>
      <c r="AIB49" s="3"/>
      <c r="AIC49" s="3"/>
      <c r="AID49" s="3"/>
      <c r="AIE49" s="3"/>
      <c r="AIF49" s="3"/>
      <c r="AIG49" s="3"/>
      <c r="AIH49" s="3"/>
      <c r="AII49" s="3"/>
      <c r="AIJ49" s="3"/>
      <c r="AIK49" s="3"/>
      <c r="AIL49" s="3"/>
      <c r="AIM49" s="3"/>
      <c r="AIN49" s="3"/>
      <c r="AIO49" s="3"/>
      <c r="AIP49" s="3"/>
      <c r="AIQ49" s="3"/>
      <c r="AIR49" s="3"/>
      <c r="AIS49" s="3"/>
      <c r="AIT49" s="3"/>
      <c r="AIU49" s="3"/>
      <c r="AIV49" s="3"/>
      <c r="AIW49" s="3"/>
      <c r="AIX49" s="3"/>
      <c r="AIY49" s="3"/>
      <c r="AIZ49" s="3"/>
      <c r="AJA49" s="3"/>
      <c r="AJB49" s="3"/>
      <c r="AJC49" s="3"/>
      <c r="AJD49" s="3"/>
      <c r="AJE49" s="3"/>
      <c r="AJF49" s="3"/>
      <c r="AJG49" s="3"/>
      <c r="AJH49" s="3"/>
      <c r="AJI49" s="3"/>
      <c r="AJJ49" s="3"/>
      <c r="AJK49" s="3"/>
      <c r="AJL49" s="3"/>
      <c r="AJM49" s="3"/>
      <c r="AJN49" s="3"/>
      <c r="AJO49" s="3"/>
      <c r="AJP49" s="3"/>
      <c r="AJQ49" s="3"/>
      <c r="AJR49" s="3"/>
      <c r="AJS49" s="3"/>
      <c r="AJT49" s="3"/>
      <c r="AJU49" s="3"/>
      <c r="AJV49" s="3"/>
      <c r="AJW49" s="3"/>
      <c r="AJX49" s="3"/>
      <c r="AJY49" s="3"/>
      <c r="AJZ49" s="3"/>
      <c r="AKA49" s="3"/>
      <c r="AKB49" s="3"/>
      <c r="AKC49" s="3"/>
      <c r="AKD49" s="3"/>
      <c r="AKE49" s="3"/>
      <c r="AKF49" s="3"/>
      <c r="AKG49" s="3"/>
      <c r="AKH49" s="3"/>
      <c r="AKI49" s="3"/>
      <c r="AKJ49" s="3"/>
      <c r="AKK49" s="3"/>
      <c r="AKL49" s="3"/>
      <c r="AKM49" s="3"/>
      <c r="AKN49" s="3"/>
      <c r="AKO49" s="3"/>
      <c r="AKP49" s="3"/>
      <c r="AKQ49" s="3"/>
      <c r="AKR49" s="3"/>
      <c r="AKS49" s="3"/>
      <c r="AKT49" s="3"/>
      <c r="AKU49" s="3"/>
      <c r="AKV49" s="3"/>
      <c r="AKW49" s="3"/>
      <c r="AKX49" s="3"/>
      <c r="AKY49" s="3"/>
      <c r="AKZ49" s="3"/>
      <c r="ALA49" s="3"/>
      <c r="ALB49" s="3"/>
      <c r="ALC49" s="3"/>
      <c r="ALD49" s="3"/>
      <c r="ALE49" s="3"/>
      <c r="ALF49" s="3"/>
      <c r="ALG49" s="3"/>
      <c r="ALH49" s="3"/>
      <c r="ALI49" s="3"/>
      <c r="ALJ49" s="3"/>
      <c r="ALK49" s="3"/>
      <c r="ALL49" s="3"/>
      <c r="ALM49" s="3"/>
      <c r="ALN49" s="3"/>
      <c r="ALO49" s="3"/>
      <c r="ALP49" s="3"/>
      <c r="ALQ49" s="3"/>
      <c r="ALR49" s="3"/>
      <c r="ALS49" s="3"/>
      <c r="ALT49" s="3"/>
      <c r="ALU49" s="3"/>
      <c r="ALV49" s="3"/>
      <c r="ALW49" s="3"/>
      <c r="ALX49" s="3"/>
      <c r="ALY49" s="3"/>
      <c r="ALZ49" s="3"/>
      <c r="AMA49" s="3"/>
      <c r="AMB49" s="3"/>
      <c r="AMC49" s="3"/>
      <c r="AMD49" s="3"/>
      <c r="AME49" s="3"/>
      <c r="AMF49" s="3"/>
      <c r="AMG49" s="3"/>
      <c r="AMH49" s="3"/>
      <c r="AMI49" s="3"/>
      <c r="AMJ49" s="3"/>
      <c r="AMK49" s="3"/>
    </row>
    <row r="50" spans="1:1025" x14ac:dyDescent="0.25">
      <c r="A50" s="19" t="s">
        <v>328</v>
      </c>
      <c r="B50" s="3">
        <v>80</v>
      </c>
      <c r="C50" s="3" t="s">
        <v>57</v>
      </c>
      <c r="D50" s="3" t="s">
        <v>100</v>
      </c>
      <c r="E50" s="3"/>
      <c r="F50" s="3">
        <v>0</v>
      </c>
      <c r="G50" s="3">
        <v>4294967294</v>
      </c>
      <c r="H50" s="3"/>
      <c r="I50" s="3" t="s">
        <v>101</v>
      </c>
      <c r="J50" s="1" t="s">
        <v>489</v>
      </c>
      <c r="K50" s="22"/>
      <c r="L50" s="1"/>
      <c r="M50" s="1"/>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c r="FZ50" s="3"/>
      <c r="GA50" s="3"/>
      <c r="GB50" s="3"/>
      <c r="GC50" s="3"/>
      <c r="GD50" s="3"/>
      <c r="GE50" s="3"/>
      <c r="GF50" s="3"/>
      <c r="GG50" s="3"/>
      <c r="GH50" s="3"/>
      <c r="GI50" s="3"/>
      <c r="GJ50" s="3"/>
      <c r="GK50" s="3"/>
      <c r="GL50" s="3"/>
      <c r="GM50" s="3"/>
      <c r="GN50" s="3"/>
      <c r="GO50" s="3"/>
      <c r="GP50" s="3"/>
      <c r="GQ50" s="3"/>
      <c r="GR50" s="3"/>
      <c r="GS50" s="3"/>
      <c r="GT50" s="3"/>
      <c r="GU50" s="3"/>
      <c r="GV50" s="3"/>
      <c r="GW50" s="3"/>
      <c r="GX50" s="3"/>
      <c r="GY50" s="3"/>
      <c r="GZ50" s="3"/>
      <c r="HA50" s="3"/>
      <c r="HB50" s="3"/>
      <c r="HC50" s="3"/>
      <c r="HD50" s="3"/>
      <c r="HE50" s="3"/>
      <c r="HF50" s="3"/>
      <c r="HG50" s="3"/>
      <c r="HH50" s="3"/>
      <c r="HI50" s="3"/>
      <c r="HJ50" s="3"/>
      <c r="HK50" s="3"/>
      <c r="HL50" s="3"/>
      <c r="HM50" s="3"/>
      <c r="HN50" s="3"/>
      <c r="HO50" s="3"/>
      <c r="HP50" s="3"/>
      <c r="HQ50" s="3"/>
      <c r="HR50" s="3"/>
      <c r="HS50" s="3"/>
      <c r="HT50" s="3"/>
      <c r="HU50" s="3"/>
      <c r="HV50" s="3"/>
      <c r="HW50" s="3"/>
      <c r="HX50" s="3"/>
      <c r="HY50" s="3"/>
      <c r="HZ50" s="3"/>
      <c r="IA50" s="3"/>
      <c r="IB50" s="3"/>
      <c r="IC50" s="3"/>
      <c r="ID50" s="3"/>
      <c r="IE50" s="3"/>
      <c r="IF50" s="3"/>
      <c r="IG50" s="3"/>
      <c r="IH50" s="3"/>
      <c r="II50" s="3"/>
      <c r="IJ50" s="3"/>
      <c r="IK50" s="3"/>
      <c r="IL50" s="3"/>
      <c r="IM50" s="3"/>
      <c r="IN50" s="3"/>
      <c r="IO50" s="3"/>
      <c r="IP50" s="3"/>
      <c r="IQ50" s="3"/>
      <c r="IR50" s="3"/>
      <c r="IS50" s="3"/>
      <c r="IT50" s="3"/>
      <c r="IU50" s="3"/>
      <c r="IV50" s="3"/>
      <c r="IW50" s="3"/>
      <c r="IX50" s="3"/>
      <c r="IY50" s="3"/>
      <c r="IZ50" s="3"/>
      <c r="JA50" s="3"/>
      <c r="JB50" s="3"/>
      <c r="JC50" s="3"/>
      <c r="JD50" s="3"/>
      <c r="JE50" s="3"/>
      <c r="JF50" s="3"/>
      <c r="JG50" s="3"/>
      <c r="JH50" s="3"/>
      <c r="JI50" s="3"/>
      <c r="JJ50" s="3"/>
      <c r="JK50" s="3"/>
      <c r="JL50" s="3"/>
      <c r="JM50" s="3"/>
      <c r="JN50" s="3"/>
      <c r="JO50" s="3"/>
      <c r="JP50" s="3"/>
      <c r="JQ50" s="3"/>
      <c r="JR50" s="3"/>
      <c r="JS50" s="3"/>
      <c r="JT50" s="3"/>
      <c r="JU50" s="3"/>
      <c r="JV50" s="3"/>
      <c r="JW50" s="3"/>
      <c r="JX50" s="3"/>
      <c r="JY50" s="3"/>
      <c r="JZ50" s="3"/>
      <c r="KA50" s="3"/>
      <c r="KB50" s="3"/>
      <c r="KC50" s="3"/>
      <c r="KD50" s="3"/>
      <c r="KE50" s="3"/>
      <c r="KF50" s="3"/>
      <c r="KG50" s="3"/>
      <c r="KH50" s="3"/>
      <c r="KI50" s="3"/>
      <c r="KJ50" s="3"/>
      <c r="KK50" s="3"/>
      <c r="KL50" s="3"/>
      <c r="KM50" s="3"/>
      <c r="KN50" s="3"/>
      <c r="KO50" s="3"/>
      <c r="KP50" s="3"/>
      <c r="KQ50" s="3"/>
      <c r="KR50" s="3"/>
      <c r="KS50" s="3"/>
      <c r="KT50" s="3"/>
      <c r="KU50" s="3"/>
      <c r="KV50" s="3"/>
      <c r="KW50" s="3"/>
      <c r="KX50" s="3"/>
      <c r="KY50" s="3"/>
      <c r="KZ50" s="3"/>
      <c r="LA50" s="3"/>
      <c r="LB50" s="3"/>
      <c r="LC50" s="3"/>
      <c r="LD50" s="3"/>
      <c r="LE50" s="3"/>
      <c r="LF50" s="3"/>
      <c r="LG50" s="3"/>
      <c r="LH50" s="3"/>
      <c r="LI50" s="3"/>
      <c r="LJ50" s="3"/>
      <c r="LK50" s="3"/>
      <c r="LL50" s="3"/>
      <c r="LM50" s="3"/>
      <c r="LN50" s="3"/>
      <c r="LO50" s="3"/>
      <c r="LP50" s="3"/>
      <c r="LQ50" s="3"/>
      <c r="LR50" s="3"/>
      <c r="LS50" s="3"/>
      <c r="LT50" s="3"/>
      <c r="LU50" s="3"/>
      <c r="LV50" s="3"/>
      <c r="LW50" s="3"/>
      <c r="LX50" s="3"/>
      <c r="LY50" s="3"/>
      <c r="LZ50" s="3"/>
      <c r="MA50" s="3"/>
      <c r="MB50" s="3"/>
      <c r="MC50" s="3"/>
      <c r="MD50" s="3"/>
      <c r="ME50" s="3"/>
      <c r="MF50" s="3"/>
      <c r="MG50" s="3"/>
      <c r="MH50" s="3"/>
      <c r="MI50" s="3"/>
      <c r="MJ50" s="3"/>
      <c r="MK50" s="3"/>
      <c r="ML50" s="3"/>
      <c r="MM50" s="3"/>
      <c r="MN50" s="3"/>
      <c r="MO50" s="3"/>
      <c r="MP50" s="3"/>
      <c r="MQ50" s="3"/>
      <c r="MR50" s="3"/>
      <c r="MS50" s="3"/>
      <c r="MT50" s="3"/>
      <c r="MU50" s="3"/>
      <c r="MV50" s="3"/>
      <c r="MW50" s="3"/>
      <c r="MX50" s="3"/>
      <c r="MY50" s="3"/>
      <c r="MZ50" s="3"/>
      <c r="NA50" s="3"/>
      <c r="NB50" s="3"/>
      <c r="NC50" s="3"/>
      <c r="ND50" s="3"/>
      <c r="NE50" s="3"/>
      <c r="NF50" s="3"/>
      <c r="NG50" s="3"/>
      <c r="NH50" s="3"/>
      <c r="NI50" s="3"/>
      <c r="NJ50" s="3"/>
      <c r="NK50" s="3"/>
      <c r="NL50" s="3"/>
      <c r="NM50" s="3"/>
      <c r="NN50" s="3"/>
      <c r="NO50" s="3"/>
      <c r="NP50" s="3"/>
      <c r="NQ50" s="3"/>
      <c r="NR50" s="3"/>
      <c r="NS50" s="3"/>
      <c r="NT50" s="3"/>
      <c r="NU50" s="3"/>
      <c r="NV50" s="3"/>
      <c r="NW50" s="3"/>
      <c r="NX50" s="3"/>
      <c r="NY50" s="3"/>
      <c r="NZ50" s="3"/>
      <c r="OA50" s="3"/>
      <c r="OB50" s="3"/>
      <c r="OC50" s="3"/>
      <c r="OD50" s="3"/>
      <c r="OE50" s="3"/>
      <c r="OF50" s="3"/>
      <c r="OG50" s="3"/>
      <c r="OH50" s="3"/>
      <c r="OI50" s="3"/>
      <c r="OJ50" s="3"/>
      <c r="OK50" s="3"/>
      <c r="OL50" s="3"/>
      <c r="OM50" s="3"/>
      <c r="ON50" s="3"/>
      <c r="OO50" s="3"/>
      <c r="OP50" s="3"/>
      <c r="OQ50" s="3"/>
      <c r="OR50" s="3"/>
      <c r="OS50" s="3"/>
      <c r="OT50" s="3"/>
      <c r="OU50" s="3"/>
      <c r="OV50" s="3"/>
      <c r="OW50" s="3"/>
      <c r="OX50" s="3"/>
      <c r="OY50" s="3"/>
      <c r="OZ50" s="3"/>
      <c r="PA50" s="3"/>
      <c r="PB50" s="3"/>
      <c r="PC50" s="3"/>
      <c r="PD50" s="3"/>
      <c r="PE50" s="3"/>
      <c r="PF50" s="3"/>
      <c r="PG50" s="3"/>
      <c r="PH50" s="3"/>
      <c r="PI50" s="3"/>
      <c r="PJ50" s="3"/>
      <c r="PK50" s="3"/>
      <c r="PL50" s="3"/>
      <c r="PM50" s="3"/>
      <c r="PN50" s="3"/>
      <c r="PO50" s="3"/>
      <c r="PP50" s="3"/>
      <c r="PQ50" s="3"/>
      <c r="PR50" s="3"/>
      <c r="PS50" s="3"/>
      <c r="PT50" s="3"/>
      <c r="PU50" s="3"/>
      <c r="PV50" s="3"/>
      <c r="PW50" s="3"/>
      <c r="PX50" s="3"/>
      <c r="PY50" s="3"/>
      <c r="PZ50" s="3"/>
      <c r="QA50" s="3"/>
      <c r="QB50" s="3"/>
      <c r="QC50" s="3"/>
      <c r="QD50" s="3"/>
      <c r="QE50" s="3"/>
      <c r="QF50" s="3"/>
      <c r="QG50" s="3"/>
      <c r="QH50" s="3"/>
      <c r="QI50" s="3"/>
      <c r="QJ50" s="3"/>
      <c r="QK50" s="3"/>
      <c r="QL50" s="3"/>
      <c r="QM50" s="3"/>
      <c r="QN50" s="3"/>
      <c r="QO50" s="3"/>
      <c r="QP50" s="3"/>
      <c r="QQ50" s="3"/>
      <c r="QR50" s="3"/>
      <c r="QS50" s="3"/>
      <c r="QT50" s="3"/>
      <c r="QU50" s="3"/>
      <c r="QV50" s="3"/>
      <c r="QW50" s="3"/>
      <c r="QX50" s="3"/>
      <c r="QY50" s="3"/>
      <c r="QZ50" s="3"/>
      <c r="RA50" s="3"/>
      <c r="RB50" s="3"/>
      <c r="RC50" s="3"/>
      <c r="RD50" s="3"/>
      <c r="RE50" s="3"/>
      <c r="RF50" s="3"/>
      <c r="RG50" s="3"/>
      <c r="RH50" s="3"/>
      <c r="RI50" s="3"/>
      <c r="RJ50" s="3"/>
      <c r="RK50" s="3"/>
      <c r="RL50" s="3"/>
      <c r="RM50" s="3"/>
      <c r="RN50" s="3"/>
      <c r="RO50" s="3"/>
      <c r="RP50" s="3"/>
      <c r="RQ50" s="3"/>
      <c r="RR50" s="3"/>
      <c r="RS50" s="3"/>
      <c r="RT50" s="3"/>
      <c r="RU50" s="3"/>
      <c r="RV50" s="3"/>
      <c r="RW50" s="3"/>
      <c r="RX50" s="3"/>
      <c r="RY50" s="3"/>
      <c r="RZ50" s="3"/>
      <c r="SA50" s="3"/>
      <c r="SB50" s="3"/>
      <c r="SC50" s="3"/>
      <c r="SD50" s="3"/>
      <c r="SE50" s="3"/>
      <c r="SF50" s="3"/>
      <c r="SG50" s="3"/>
      <c r="SH50" s="3"/>
      <c r="SI50" s="3"/>
      <c r="SJ50" s="3"/>
      <c r="SK50" s="3"/>
      <c r="SL50" s="3"/>
      <c r="SM50" s="3"/>
      <c r="SN50" s="3"/>
      <c r="SO50" s="3"/>
      <c r="SP50" s="3"/>
      <c r="SQ50" s="3"/>
      <c r="SR50" s="3"/>
      <c r="SS50" s="3"/>
      <c r="ST50" s="3"/>
      <c r="SU50" s="3"/>
      <c r="SV50" s="3"/>
      <c r="SW50" s="3"/>
      <c r="SX50" s="3"/>
      <c r="SY50" s="3"/>
      <c r="SZ50" s="3"/>
      <c r="TA50" s="3"/>
      <c r="TB50" s="3"/>
      <c r="TC50" s="3"/>
      <c r="TD50" s="3"/>
      <c r="TE50" s="3"/>
      <c r="TF50" s="3"/>
      <c r="TG50" s="3"/>
      <c r="TH50" s="3"/>
      <c r="TI50" s="3"/>
      <c r="TJ50" s="3"/>
      <c r="TK50" s="3"/>
      <c r="TL50" s="3"/>
      <c r="TM50" s="3"/>
      <c r="TN50" s="3"/>
      <c r="TO50" s="3"/>
      <c r="TP50" s="3"/>
      <c r="TQ50" s="3"/>
      <c r="TR50" s="3"/>
      <c r="TS50" s="3"/>
      <c r="TT50" s="3"/>
      <c r="TU50" s="3"/>
      <c r="TV50" s="3"/>
      <c r="TW50" s="3"/>
      <c r="TX50" s="3"/>
      <c r="TY50" s="3"/>
      <c r="TZ50" s="3"/>
      <c r="UA50" s="3"/>
      <c r="UB50" s="3"/>
      <c r="UC50" s="3"/>
      <c r="UD50" s="3"/>
      <c r="UE50" s="3"/>
      <c r="UF50" s="3"/>
      <c r="UG50" s="3"/>
      <c r="UH50" s="3"/>
      <c r="UI50" s="3"/>
      <c r="UJ50" s="3"/>
      <c r="UK50" s="3"/>
      <c r="UL50" s="3"/>
      <c r="UM50" s="3"/>
      <c r="UN50" s="3"/>
      <c r="UO50" s="3"/>
      <c r="UP50" s="3"/>
      <c r="UQ50" s="3"/>
      <c r="UR50" s="3"/>
      <c r="US50" s="3"/>
      <c r="UT50" s="3"/>
      <c r="UU50" s="3"/>
      <c r="UV50" s="3"/>
      <c r="UW50" s="3"/>
      <c r="UX50" s="3"/>
      <c r="UY50" s="3"/>
      <c r="UZ50" s="3"/>
      <c r="VA50" s="3"/>
      <c r="VB50" s="3"/>
      <c r="VC50" s="3"/>
      <c r="VD50" s="3"/>
      <c r="VE50" s="3"/>
      <c r="VF50" s="3"/>
      <c r="VG50" s="3"/>
      <c r="VH50" s="3"/>
      <c r="VI50" s="3"/>
      <c r="VJ50" s="3"/>
      <c r="VK50" s="3"/>
      <c r="VL50" s="3"/>
      <c r="VM50" s="3"/>
      <c r="VN50" s="3"/>
      <c r="VO50" s="3"/>
      <c r="VP50" s="3"/>
      <c r="VQ50" s="3"/>
      <c r="VR50" s="3"/>
      <c r="VS50" s="3"/>
      <c r="VT50" s="3"/>
      <c r="VU50" s="3"/>
      <c r="VV50" s="3"/>
      <c r="VW50" s="3"/>
      <c r="VX50" s="3"/>
      <c r="VY50" s="3"/>
      <c r="VZ50" s="3"/>
      <c r="WA50" s="3"/>
      <c r="WB50" s="3"/>
      <c r="WC50" s="3"/>
      <c r="WD50" s="3"/>
      <c r="WE50" s="3"/>
      <c r="WF50" s="3"/>
      <c r="WG50" s="3"/>
      <c r="WH50" s="3"/>
      <c r="WI50" s="3"/>
      <c r="WJ50" s="3"/>
      <c r="WK50" s="3"/>
      <c r="WL50" s="3"/>
      <c r="WM50" s="3"/>
      <c r="WN50" s="3"/>
      <c r="WO50" s="3"/>
      <c r="WP50" s="3"/>
      <c r="WQ50" s="3"/>
      <c r="WR50" s="3"/>
      <c r="WS50" s="3"/>
      <c r="WT50" s="3"/>
      <c r="WU50" s="3"/>
      <c r="WV50" s="3"/>
      <c r="WW50" s="3"/>
      <c r="WX50" s="3"/>
      <c r="WY50" s="3"/>
      <c r="WZ50" s="3"/>
      <c r="XA50" s="3"/>
      <c r="XB50" s="3"/>
      <c r="XC50" s="3"/>
      <c r="XD50" s="3"/>
      <c r="XE50" s="3"/>
      <c r="XF50" s="3"/>
      <c r="XG50" s="3"/>
      <c r="XH50" s="3"/>
      <c r="XI50" s="3"/>
      <c r="XJ50" s="3"/>
      <c r="XK50" s="3"/>
      <c r="XL50" s="3"/>
      <c r="XM50" s="3"/>
      <c r="XN50" s="3"/>
      <c r="XO50" s="3"/>
      <c r="XP50" s="3"/>
      <c r="XQ50" s="3"/>
      <c r="XR50" s="3"/>
      <c r="XS50" s="3"/>
      <c r="XT50" s="3"/>
      <c r="XU50" s="3"/>
      <c r="XV50" s="3"/>
      <c r="XW50" s="3"/>
      <c r="XX50" s="3"/>
      <c r="XY50" s="3"/>
      <c r="XZ50" s="3"/>
      <c r="YA50" s="3"/>
      <c r="YB50" s="3"/>
      <c r="YC50" s="3"/>
      <c r="YD50" s="3"/>
      <c r="YE50" s="3"/>
      <c r="YF50" s="3"/>
      <c r="YG50" s="3"/>
      <c r="YH50" s="3"/>
      <c r="YI50" s="3"/>
      <c r="YJ50" s="3"/>
      <c r="YK50" s="3"/>
      <c r="YL50" s="3"/>
      <c r="YM50" s="3"/>
      <c r="YN50" s="3"/>
      <c r="YO50" s="3"/>
      <c r="YP50" s="3"/>
      <c r="YQ50" s="3"/>
      <c r="YR50" s="3"/>
      <c r="YS50" s="3"/>
      <c r="YT50" s="3"/>
      <c r="YU50" s="3"/>
      <c r="YV50" s="3"/>
      <c r="YW50" s="3"/>
      <c r="YX50" s="3"/>
      <c r="YY50" s="3"/>
      <c r="YZ50" s="3"/>
      <c r="ZA50" s="3"/>
      <c r="ZB50" s="3"/>
      <c r="ZC50" s="3"/>
      <c r="ZD50" s="3"/>
      <c r="ZE50" s="3"/>
      <c r="ZF50" s="3"/>
      <c r="ZG50" s="3"/>
      <c r="ZH50" s="3"/>
      <c r="ZI50" s="3"/>
      <c r="ZJ50" s="3"/>
      <c r="ZK50" s="3"/>
      <c r="ZL50" s="3"/>
      <c r="ZM50" s="3"/>
      <c r="ZN50" s="3"/>
      <c r="ZO50" s="3"/>
      <c r="ZP50" s="3"/>
      <c r="ZQ50" s="3"/>
      <c r="ZR50" s="3"/>
      <c r="ZS50" s="3"/>
      <c r="ZT50" s="3"/>
      <c r="ZU50" s="3"/>
      <c r="ZV50" s="3"/>
      <c r="ZW50" s="3"/>
      <c r="ZX50" s="3"/>
      <c r="ZY50" s="3"/>
      <c r="ZZ50" s="3"/>
      <c r="AAA50" s="3"/>
      <c r="AAB50" s="3"/>
      <c r="AAC50" s="3"/>
      <c r="AAD50" s="3"/>
      <c r="AAE50" s="3"/>
      <c r="AAF50" s="3"/>
      <c r="AAG50" s="3"/>
      <c r="AAH50" s="3"/>
      <c r="AAI50" s="3"/>
      <c r="AAJ50" s="3"/>
      <c r="AAK50" s="3"/>
      <c r="AAL50" s="3"/>
      <c r="AAM50" s="3"/>
      <c r="AAN50" s="3"/>
      <c r="AAO50" s="3"/>
      <c r="AAP50" s="3"/>
      <c r="AAQ50" s="3"/>
      <c r="AAR50" s="3"/>
      <c r="AAS50" s="3"/>
      <c r="AAT50" s="3"/>
      <c r="AAU50" s="3"/>
      <c r="AAV50" s="3"/>
      <c r="AAW50" s="3"/>
      <c r="AAX50" s="3"/>
      <c r="AAY50" s="3"/>
      <c r="AAZ50" s="3"/>
      <c r="ABA50" s="3"/>
      <c r="ABB50" s="3"/>
      <c r="ABC50" s="3"/>
      <c r="ABD50" s="3"/>
      <c r="ABE50" s="3"/>
      <c r="ABF50" s="3"/>
      <c r="ABG50" s="3"/>
      <c r="ABH50" s="3"/>
      <c r="ABI50" s="3"/>
      <c r="ABJ50" s="3"/>
      <c r="ABK50" s="3"/>
      <c r="ABL50" s="3"/>
      <c r="ABM50" s="3"/>
      <c r="ABN50" s="3"/>
      <c r="ABO50" s="3"/>
      <c r="ABP50" s="3"/>
      <c r="ABQ50" s="3"/>
      <c r="ABR50" s="3"/>
      <c r="ABS50" s="3"/>
      <c r="ABT50" s="3"/>
      <c r="ABU50" s="3"/>
      <c r="ABV50" s="3"/>
      <c r="ABW50" s="3"/>
      <c r="ABX50" s="3"/>
      <c r="ABY50" s="3"/>
      <c r="ABZ50" s="3"/>
      <c r="ACA50" s="3"/>
      <c r="ACB50" s="3"/>
      <c r="ACC50" s="3"/>
      <c r="ACD50" s="3"/>
      <c r="ACE50" s="3"/>
      <c r="ACF50" s="3"/>
      <c r="ACG50" s="3"/>
      <c r="ACH50" s="3"/>
      <c r="ACI50" s="3"/>
      <c r="ACJ50" s="3"/>
      <c r="ACK50" s="3"/>
      <c r="ACL50" s="3"/>
      <c r="ACM50" s="3"/>
      <c r="ACN50" s="3"/>
      <c r="ACO50" s="3"/>
      <c r="ACP50" s="3"/>
      <c r="ACQ50" s="3"/>
      <c r="ACR50" s="3"/>
      <c r="ACS50" s="3"/>
      <c r="ACT50" s="3"/>
      <c r="ACU50" s="3"/>
      <c r="ACV50" s="3"/>
      <c r="ACW50" s="3"/>
      <c r="ACX50" s="3"/>
      <c r="ACY50" s="3"/>
      <c r="ACZ50" s="3"/>
      <c r="ADA50" s="3"/>
      <c r="ADB50" s="3"/>
      <c r="ADC50" s="3"/>
      <c r="ADD50" s="3"/>
      <c r="ADE50" s="3"/>
      <c r="ADF50" s="3"/>
      <c r="ADG50" s="3"/>
      <c r="ADH50" s="3"/>
      <c r="ADI50" s="3"/>
      <c r="ADJ50" s="3"/>
      <c r="ADK50" s="3"/>
      <c r="ADL50" s="3"/>
      <c r="ADM50" s="3"/>
      <c r="ADN50" s="3"/>
      <c r="ADO50" s="3"/>
      <c r="ADP50" s="3"/>
      <c r="ADQ50" s="3"/>
      <c r="ADR50" s="3"/>
      <c r="ADS50" s="3"/>
      <c r="ADT50" s="3"/>
      <c r="ADU50" s="3"/>
      <c r="ADV50" s="3"/>
      <c r="ADW50" s="3"/>
      <c r="ADX50" s="3"/>
      <c r="ADY50" s="3"/>
      <c r="ADZ50" s="3"/>
      <c r="AEA50" s="3"/>
      <c r="AEB50" s="3"/>
      <c r="AEC50" s="3"/>
      <c r="AED50" s="3"/>
      <c r="AEE50" s="3"/>
      <c r="AEF50" s="3"/>
      <c r="AEG50" s="3"/>
      <c r="AEH50" s="3"/>
      <c r="AEI50" s="3"/>
      <c r="AEJ50" s="3"/>
      <c r="AEK50" s="3"/>
      <c r="AEL50" s="3"/>
      <c r="AEM50" s="3"/>
      <c r="AEN50" s="3"/>
      <c r="AEO50" s="3"/>
      <c r="AEP50" s="3"/>
      <c r="AEQ50" s="3"/>
      <c r="AER50" s="3"/>
      <c r="AES50" s="3"/>
      <c r="AET50" s="3"/>
      <c r="AEU50" s="3"/>
      <c r="AEV50" s="3"/>
      <c r="AEW50" s="3"/>
      <c r="AEX50" s="3"/>
      <c r="AEY50" s="3"/>
      <c r="AEZ50" s="3"/>
      <c r="AFA50" s="3"/>
      <c r="AFB50" s="3"/>
      <c r="AFC50" s="3"/>
      <c r="AFD50" s="3"/>
      <c r="AFE50" s="3"/>
      <c r="AFF50" s="3"/>
      <c r="AFG50" s="3"/>
      <c r="AFH50" s="3"/>
      <c r="AFI50" s="3"/>
      <c r="AFJ50" s="3"/>
      <c r="AFK50" s="3"/>
      <c r="AFL50" s="3"/>
      <c r="AFM50" s="3"/>
      <c r="AFN50" s="3"/>
      <c r="AFO50" s="3"/>
      <c r="AFP50" s="3"/>
      <c r="AFQ50" s="3"/>
      <c r="AFR50" s="3"/>
      <c r="AFS50" s="3"/>
      <c r="AFT50" s="3"/>
      <c r="AFU50" s="3"/>
      <c r="AFV50" s="3"/>
      <c r="AFW50" s="3"/>
      <c r="AFX50" s="3"/>
      <c r="AFY50" s="3"/>
      <c r="AFZ50" s="3"/>
      <c r="AGA50" s="3"/>
      <c r="AGB50" s="3"/>
      <c r="AGC50" s="3"/>
      <c r="AGD50" s="3"/>
      <c r="AGE50" s="3"/>
      <c r="AGF50" s="3"/>
      <c r="AGG50" s="3"/>
      <c r="AGH50" s="3"/>
      <c r="AGI50" s="3"/>
      <c r="AGJ50" s="3"/>
      <c r="AGK50" s="3"/>
      <c r="AGL50" s="3"/>
      <c r="AGM50" s="3"/>
      <c r="AGN50" s="3"/>
      <c r="AGO50" s="3"/>
      <c r="AGP50" s="3"/>
      <c r="AGQ50" s="3"/>
      <c r="AGR50" s="3"/>
      <c r="AGS50" s="3"/>
      <c r="AGT50" s="3"/>
      <c r="AGU50" s="3"/>
      <c r="AGV50" s="3"/>
      <c r="AGW50" s="3"/>
      <c r="AGX50" s="3"/>
      <c r="AGY50" s="3"/>
      <c r="AGZ50" s="3"/>
      <c r="AHA50" s="3"/>
      <c r="AHB50" s="3"/>
      <c r="AHC50" s="3"/>
      <c r="AHD50" s="3"/>
      <c r="AHE50" s="3"/>
      <c r="AHF50" s="3"/>
      <c r="AHG50" s="3"/>
      <c r="AHH50" s="3"/>
      <c r="AHI50" s="3"/>
      <c r="AHJ50" s="3"/>
      <c r="AHK50" s="3"/>
      <c r="AHL50" s="3"/>
      <c r="AHM50" s="3"/>
      <c r="AHN50" s="3"/>
      <c r="AHO50" s="3"/>
      <c r="AHP50" s="3"/>
      <c r="AHQ50" s="3"/>
      <c r="AHR50" s="3"/>
      <c r="AHS50" s="3"/>
      <c r="AHT50" s="3"/>
      <c r="AHU50" s="3"/>
      <c r="AHV50" s="3"/>
      <c r="AHW50" s="3"/>
      <c r="AHX50" s="3"/>
      <c r="AHY50" s="3"/>
      <c r="AHZ50" s="3"/>
      <c r="AIA50" s="3"/>
      <c r="AIB50" s="3"/>
      <c r="AIC50" s="3"/>
      <c r="AID50" s="3"/>
      <c r="AIE50" s="3"/>
      <c r="AIF50" s="3"/>
      <c r="AIG50" s="3"/>
      <c r="AIH50" s="3"/>
      <c r="AII50" s="3"/>
      <c r="AIJ50" s="3"/>
      <c r="AIK50" s="3"/>
      <c r="AIL50" s="3"/>
      <c r="AIM50" s="3"/>
      <c r="AIN50" s="3"/>
      <c r="AIO50" s="3"/>
      <c r="AIP50" s="3"/>
      <c r="AIQ50" s="3"/>
      <c r="AIR50" s="3"/>
      <c r="AIS50" s="3"/>
      <c r="AIT50" s="3"/>
      <c r="AIU50" s="3"/>
      <c r="AIV50" s="3"/>
      <c r="AIW50" s="3"/>
      <c r="AIX50" s="3"/>
      <c r="AIY50" s="3"/>
      <c r="AIZ50" s="3"/>
      <c r="AJA50" s="3"/>
      <c r="AJB50" s="3"/>
      <c r="AJC50" s="3"/>
      <c r="AJD50" s="3"/>
      <c r="AJE50" s="3"/>
      <c r="AJF50" s="3"/>
      <c r="AJG50" s="3"/>
      <c r="AJH50" s="3"/>
      <c r="AJI50" s="3"/>
      <c r="AJJ50" s="3"/>
      <c r="AJK50" s="3"/>
      <c r="AJL50" s="3"/>
      <c r="AJM50" s="3"/>
      <c r="AJN50" s="3"/>
      <c r="AJO50" s="3"/>
      <c r="AJP50" s="3"/>
      <c r="AJQ50" s="3"/>
      <c r="AJR50" s="3"/>
      <c r="AJS50" s="3"/>
      <c r="AJT50" s="3"/>
      <c r="AJU50" s="3"/>
      <c r="AJV50" s="3"/>
      <c r="AJW50" s="3"/>
      <c r="AJX50" s="3"/>
      <c r="AJY50" s="3"/>
      <c r="AJZ50" s="3"/>
      <c r="AKA50" s="3"/>
      <c r="AKB50" s="3"/>
      <c r="AKC50" s="3"/>
      <c r="AKD50" s="3"/>
      <c r="AKE50" s="3"/>
      <c r="AKF50" s="3"/>
      <c r="AKG50" s="3"/>
      <c r="AKH50" s="3"/>
      <c r="AKI50" s="3"/>
      <c r="AKJ50" s="3"/>
      <c r="AKK50" s="3"/>
      <c r="AKL50" s="3"/>
      <c r="AKM50" s="3"/>
      <c r="AKN50" s="3"/>
      <c r="AKO50" s="3"/>
      <c r="AKP50" s="3"/>
      <c r="AKQ50" s="3"/>
      <c r="AKR50" s="3"/>
      <c r="AKS50" s="3"/>
      <c r="AKT50" s="3"/>
      <c r="AKU50" s="3"/>
      <c r="AKV50" s="3"/>
      <c r="AKW50" s="3"/>
      <c r="AKX50" s="3"/>
      <c r="AKY50" s="3"/>
      <c r="AKZ50" s="3"/>
      <c r="ALA50" s="3"/>
      <c r="ALB50" s="3"/>
      <c r="ALC50" s="3"/>
      <c r="ALD50" s="3"/>
      <c r="ALE50" s="3"/>
      <c r="ALF50" s="3"/>
      <c r="ALG50" s="3"/>
      <c r="ALH50" s="3"/>
      <c r="ALI50" s="3"/>
      <c r="ALJ50" s="3"/>
      <c r="ALK50" s="3"/>
      <c r="ALL50" s="3"/>
      <c r="ALM50" s="3"/>
      <c r="ALN50" s="3"/>
      <c r="ALO50" s="3"/>
      <c r="ALP50" s="3"/>
      <c r="ALQ50" s="3"/>
      <c r="ALR50" s="3"/>
      <c r="ALS50" s="3"/>
      <c r="ALT50" s="3"/>
      <c r="ALU50" s="3"/>
      <c r="ALV50" s="3"/>
      <c r="ALW50" s="3"/>
      <c r="ALX50" s="3"/>
      <c r="ALY50" s="3"/>
      <c r="ALZ50" s="3"/>
      <c r="AMA50" s="3"/>
      <c r="AMB50" s="3"/>
      <c r="AMC50" s="3"/>
      <c r="AMD50" s="3"/>
      <c r="AME50" s="3"/>
      <c r="AMF50" s="3"/>
      <c r="AMG50" s="3"/>
      <c r="AMH50" s="3"/>
      <c r="AMI50" s="3"/>
      <c r="AMJ50" s="3"/>
      <c r="AMK50" s="3"/>
    </row>
    <row r="51" spans="1:1025" x14ac:dyDescent="0.25">
      <c r="A51" s="19" t="s">
        <v>329</v>
      </c>
      <c r="B51" s="3">
        <v>80</v>
      </c>
      <c r="C51" s="3" t="s">
        <v>58</v>
      </c>
      <c r="D51" s="3" t="s">
        <v>100</v>
      </c>
      <c r="E51" s="3"/>
      <c r="F51" s="3">
        <v>0</v>
      </c>
      <c r="G51" s="3">
        <v>4294967294</v>
      </c>
      <c r="H51" s="3"/>
      <c r="I51" s="3" t="s">
        <v>101</v>
      </c>
      <c r="J51" s="1" t="s">
        <v>489</v>
      </c>
      <c r="K51" s="22"/>
      <c r="L51" s="1"/>
      <c r="M51" s="1"/>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c r="FZ51" s="3"/>
      <c r="GA51" s="3"/>
      <c r="GB51" s="3"/>
      <c r="GC51" s="3"/>
      <c r="GD51" s="3"/>
      <c r="GE51" s="3"/>
      <c r="GF51" s="3"/>
      <c r="GG51" s="3"/>
      <c r="GH51" s="3"/>
      <c r="GI51" s="3"/>
      <c r="GJ51" s="3"/>
      <c r="GK51" s="3"/>
      <c r="GL51" s="3"/>
      <c r="GM51" s="3"/>
      <c r="GN51" s="3"/>
      <c r="GO51" s="3"/>
      <c r="GP51" s="3"/>
      <c r="GQ51" s="3"/>
      <c r="GR51" s="3"/>
      <c r="GS51" s="3"/>
      <c r="GT51" s="3"/>
      <c r="GU51" s="3"/>
      <c r="GV51" s="3"/>
      <c r="GW51" s="3"/>
      <c r="GX51" s="3"/>
      <c r="GY51" s="3"/>
      <c r="GZ51" s="3"/>
      <c r="HA51" s="3"/>
      <c r="HB51" s="3"/>
      <c r="HC51" s="3"/>
      <c r="HD51" s="3"/>
      <c r="HE51" s="3"/>
      <c r="HF51" s="3"/>
      <c r="HG51" s="3"/>
      <c r="HH51" s="3"/>
      <c r="HI51" s="3"/>
      <c r="HJ51" s="3"/>
      <c r="HK51" s="3"/>
      <c r="HL51" s="3"/>
      <c r="HM51" s="3"/>
      <c r="HN51" s="3"/>
      <c r="HO51" s="3"/>
      <c r="HP51" s="3"/>
      <c r="HQ51" s="3"/>
      <c r="HR51" s="3"/>
      <c r="HS51" s="3"/>
      <c r="HT51" s="3"/>
      <c r="HU51" s="3"/>
      <c r="HV51" s="3"/>
      <c r="HW51" s="3"/>
      <c r="HX51" s="3"/>
      <c r="HY51" s="3"/>
      <c r="HZ51" s="3"/>
      <c r="IA51" s="3"/>
      <c r="IB51" s="3"/>
      <c r="IC51" s="3"/>
      <c r="ID51" s="3"/>
      <c r="IE51" s="3"/>
      <c r="IF51" s="3"/>
      <c r="IG51" s="3"/>
      <c r="IH51" s="3"/>
      <c r="II51" s="3"/>
      <c r="IJ51" s="3"/>
      <c r="IK51" s="3"/>
      <c r="IL51" s="3"/>
      <c r="IM51" s="3"/>
      <c r="IN51" s="3"/>
      <c r="IO51" s="3"/>
      <c r="IP51" s="3"/>
      <c r="IQ51" s="3"/>
      <c r="IR51" s="3"/>
      <c r="IS51" s="3"/>
      <c r="IT51" s="3"/>
      <c r="IU51" s="3"/>
      <c r="IV51" s="3"/>
      <c r="IW51" s="3"/>
      <c r="IX51" s="3"/>
      <c r="IY51" s="3"/>
      <c r="IZ51" s="3"/>
      <c r="JA51" s="3"/>
      <c r="JB51" s="3"/>
      <c r="JC51" s="3"/>
      <c r="JD51" s="3"/>
      <c r="JE51" s="3"/>
      <c r="JF51" s="3"/>
      <c r="JG51" s="3"/>
      <c r="JH51" s="3"/>
      <c r="JI51" s="3"/>
      <c r="JJ51" s="3"/>
      <c r="JK51" s="3"/>
      <c r="JL51" s="3"/>
      <c r="JM51" s="3"/>
      <c r="JN51" s="3"/>
      <c r="JO51" s="3"/>
      <c r="JP51" s="3"/>
      <c r="JQ51" s="3"/>
      <c r="JR51" s="3"/>
      <c r="JS51" s="3"/>
      <c r="JT51" s="3"/>
      <c r="JU51" s="3"/>
      <c r="JV51" s="3"/>
      <c r="JW51" s="3"/>
      <c r="JX51" s="3"/>
      <c r="JY51" s="3"/>
      <c r="JZ51" s="3"/>
      <c r="KA51" s="3"/>
      <c r="KB51" s="3"/>
      <c r="KC51" s="3"/>
      <c r="KD51" s="3"/>
      <c r="KE51" s="3"/>
      <c r="KF51" s="3"/>
      <c r="KG51" s="3"/>
      <c r="KH51" s="3"/>
      <c r="KI51" s="3"/>
      <c r="KJ51" s="3"/>
      <c r="KK51" s="3"/>
      <c r="KL51" s="3"/>
      <c r="KM51" s="3"/>
      <c r="KN51" s="3"/>
      <c r="KO51" s="3"/>
      <c r="KP51" s="3"/>
      <c r="KQ51" s="3"/>
      <c r="KR51" s="3"/>
      <c r="KS51" s="3"/>
      <c r="KT51" s="3"/>
      <c r="KU51" s="3"/>
      <c r="KV51" s="3"/>
      <c r="KW51" s="3"/>
      <c r="KX51" s="3"/>
      <c r="KY51" s="3"/>
      <c r="KZ51" s="3"/>
      <c r="LA51" s="3"/>
      <c r="LB51" s="3"/>
      <c r="LC51" s="3"/>
      <c r="LD51" s="3"/>
      <c r="LE51" s="3"/>
      <c r="LF51" s="3"/>
      <c r="LG51" s="3"/>
      <c r="LH51" s="3"/>
      <c r="LI51" s="3"/>
      <c r="LJ51" s="3"/>
      <c r="LK51" s="3"/>
      <c r="LL51" s="3"/>
      <c r="LM51" s="3"/>
      <c r="LN51" s="3"/>
      <c r="LO51" s="3"/>
      <c r="LP51" s="3"/>
      <c r="LQ51" s="3"/>
      <c r="LR51" s="3"/>
      <c r="LS51" s="3"/>
      <c r="LT51" s="3"/>
      <c r="LU51" s="3"/>
      <c r="LV51" s="3"/>
      <c r="LW51" s="3"/>
      <c r="LX51" s="3"/>
      <c r="LY51" s="3"/>
      <c r="LZ51" s="3"/>
      <c r="MA51" s="3"/>
      <c r="MB51" s="3"/>
      <c r="MC51" s="3"/>
      <c r="MD51" s="3"/>
      <c r="ME51" s="3"/>
      <c r="MF51" s="3"/>
      <c r="MG51" s="3"/>
      <c r="MH51" s="3"/>
      <c r="MI51" s="3"/>
      <c r="MJ51" s="3"/>
      <c r="MK51" s="3"/>
      <c r="ML51" s="3"/>
      <c r="MM51" s="3"/>
      <c r="MN51" s="3"/>
      <c r="MO51" s="3"/>
      <c r="MP51" s="3"/>
      <c r="MQ51" s="3"/>
      <c r="MR51" s="3"/>
      <c r="MS51" s="3"/>
      <c r="MT51" s="3"/>
      <c r="MU51" s="3"/>
      <c r="MV51" s="3"/>
      <c r="MW51" s="3"/>
      <c r="MX51" s="3"/>
      <c r="MY51" s="3"/>
      <c r="MZ51" s="3"/>
      <c r="NA51" s="3"/>
      <c r="NB51" s="3"/>
      <c r="NC51" s="3"/>
      <c r="ND51" s="3"/>
      <c r="NE51" s="3"/>
      <c r="NF51" s="3"/>
      <c r="NG51" s="3"/>
      <c r="NH51" s="3"/>
      <c r="NI51" s="3"/>
      <c r="NJ51" s="3"/>
      <c r="NK51" s="3"/>
      <c r="NL51" s="3"/>
      <c r="NM51" s="3"/>
      <c r="NN51" s="3"/>
      <c r="NO51" s="3"/>
      <c r="NP51" s="3"/>
      <c r="NQ51" s="3"/>
      <c r="NR51" s="3"/>
      <c r="NS51" s="3"/>
      <c r="NT51" s="3"/>
      <c r="NU51" s="3"/>
      <c r="NV51" s="3"/>
      <c r="NW51" s="3"/>
      <c r="NX51" s="3"/>
      <c r="NY51" s="3"/>
      <c r="NZ51" s="3"/>
      <c r="OA51" s="3"/>
      <c r="OB51" s="3"/>
      <c r="OC51" s="3"/>
      <c r="OD51" s="3"/>
      <c r="OE51" s="3"/>
      <c r="OF51" s="3"/>
      <c r="OG51" s="3"/>
      <c r="OH51" s="3"/>
      <c r="OI51" s="3"/>
      <c r="OJ51" s="3"/>
      <c r="OK51" s="3"/>
      <c r="OL51" s="3"/>
      <c r="OM51" s="3"/>
      <c r="ON51" s="3"/>
      <c r="OO51" s="3"/>
      <c r="OP51" s="3"/>
      <c r="OQ51" s="3"/>
      <c r="OR51" s="3"/>
      <c r="OS51" s="3"/>
      <c r="OT51" s="3"/>
      <c r="OU51" s="3"/>
      <c r="OV51" s="3"/>
      <c r="OW51" s="3"/>
      <c r="OX51" s="3"/>
      <c r="OY51" s="3"/>
      <c r="OZ51" s="3"/>
      <c r="PA51" s="3"/>
      <c r="PB51" s="3"/>
      <c r="PC51" s="3"/>
      <c r="PD51" s="3"/>
      <c r="PE51" s="3"/>
      <c r="PF51" s="3"/>
      <c r="PG51" s="3"/>
      <c r="PH51" s="3"/>
      <c r="PI51" s="3"/>
      <c r="PJ51" s="3"/>
      <c r="PK51" s="3"/>
      <c r="PL51" s="3"/>
      <c r="PM51" s="3"/>
      <c r="PN51" s="3"/>
      <c r="PO51" s="3"/>
      <c r="PP51" s="3"/>
      <c r="PQ51" s="3"/>
      <c r="PR51" s="3"/>
      <c r="PS51" s="3"/>
      <c r="PT51" s="3"/>
      <c r="PU51" s="3"/>
      <c r="PV51" s="3"/>
      <c r="PW51" s="3"/>
      <c r="PX51" s="3"/>
      <c r="PY51" s="3"/>
      <c r="PZ51" s="3"/>
      <c r="QA51" s="3"/>
      <c r="QB51" s="3"/>
      <c r="QC51" s="3"/>
      <c r="QD51" s="3"/>
      <c r="QE51" s="3"/>
      <c r="QF51" s="3"/>
      <c r="QG51" s="3"/>
      <c r="QH51" s="3"/>
      <c r="QI51" s="3"/>
      <c r="QJ51" s="3"/>
      <c r="QK51" s="3"/>
      <c r="QL51" s="3"/>
      <c r="QM51" s="3"/>
      <c r="QN51" s="3"/>
      <c r="QO51" s="3"/>
      <c r="QP51" s="3"/>
      <c r="QQ51" s="3"/>
      <c r="QR51" s="3"/>
      <c r="QS51" s="3"/>
      <c r="QT51" s="3"/>
      <c r="QU51" s="3"/>
      <c r="QV51" s="3"/>
      <c r="QW51" s="3"/>
      <c r="QX51" s="3"/>
      <c r="QY51" s="3"/>
      <c r="QZ51" s="3"/>
      <c r="RA51" s="3"/>
      <c r="RB51" s="3"/>
      <c r="RC51" s="3"/>
      <c r="RD51" s="3"/>
      <c r="RE51" s="3"/>
      <c r="RF51" s="3"/>
      <c r="RG51" s="3"/>
      <c r="RH51" s="3"/>
      <c r="RI51" s="3"/>
      <c r="RJ51" s="3"/>
      <c r="RK51" s="3"/>
      <c r="RL51" s="3"/>
      <c r="RM51" s="3"/>
      <c r="RN51" s="3"/>
      <c r="RO51" s="3"/>
      <c r="RP51" s="3"/>
      <c r="RQ51" s="3"/>
      <c r="RR51" s="3"/>
      <c r="RS51" s="3"/>
      <c r="RT51" s="3"/>
      <c r="RU51" s="3"/>
      <c r="RV51" s="3"/>
      <c r="RW51" s="3"/>
      <c r="RX51" s="3"/>
      <c r="RY51" s="3"/>
      <c r="RZ51" s="3"/>
      <c r="SA51" s="3"/>
      <c r="SB51" s="3"/>
      <c r="SC51" s="3"/>
      <c r="SD51" s="3"/>
      <c r="SE51" s="3"/>
      <c r="SF51" s="3"/>
      <c r="SG51" s="3"/>
      <c r="SH51" s="3"/>
      <c r="SI51" s="3"/>
      <c r="SJ51" s="3"/>
      <c r="SK51" s="3"/>
      <c r="SL51" s="3"/>
      <c r="SM51" s="3"/>
      <c r="SN51" s="3"/>
      <c r="SO51" s="3"/>
      <c r="SP51" s="3"/>
      <c r="SQ51" s="3"/>
      <c r="SR51" s="3"/>
      <c r="SS51" s="3"/>
      <c r="ST51" s="3"/>
      <c r="SU51" s="3"/>
      <c r="SV51" s="3"/>
      <c r="SW51" s="3"/>
      <c r="SX51" s="3"/>
      <c r="SY51" s="3"/>
      <c r="SZ51" s="3"/>
      <c r="TA51" s="3"/>
      <c r="TB51" s="3"/>
      <c r="TC51" s="3"/>
      <c r="TD51" s="3"/>
      <c r="TE51" s="3"/>
      <c r="TF51" s="3"/>
      <c r="TG51" s="3"/>
      <c r="TH51" s="3"/>
      <c r="TI51" s="3"/>
      <c r="TJ51" s="3"/>
      <c r="TK51" s="3"/>
      <c r="TL51" s="3"/>
      <c r="TM51" s="3"/>
      <c r="TN51" s="3"/>
      <c r="TO51" s="3"/>
      <c r="TP51" s="3"/>
      <c r="TQ51" s="3"/>
      <c r="TR51" s="3"/>
      <c r="TS51" s="3"/>
      <c r="TT51" s="3"/>
      <c r="TU51" s="3"/>
      <c r="TV51" s="3"/>
      <c r="TW51" s="3"/>
      <c r="TX51" s="3"/>
      <c r="TY51" s="3"/>
      <c r="TZ51" s="3"/>
      <c r="UA51" s="3"/>
      <c r="UB51" s="3"/>
      <c r="UC51" s="3"/>
      <c r="UD51" s="3"/>
      <c r="UE51" s="3"/>
      <c r="UF51" s="3"/>
      <c r="UG51" s="3"/>
      <c r="UH51" s="3"/>
      <c r="UI51" s="3"/>
      <c r="UJ51" s="3"/>
      <c r="UK51" s="3"/>
      <c r="UL51" s="3"/>
      <c r="UM51" s="3"/>
      <c r="UN51" s="3"/>
      <c r="UO51" s="3"/>
      <c r="UP51" s="3"/>
      <c r="UQ51" s="3"/>
      <c r="UR51" s="3"/>
      <c r="US51" s="3"/>
      <c r="UT51" s="3"/>
      <c r="UU51" s="3"/>
      <c r="UV51" s="3"/>
      <c r="UW51" s="3"/>
      <c r="UX51" s="3"/>
      <c r="UY51" s="3"/>
      <c r="UZ51" s="3"/>
      <c r="VA51" s="3"/>
      <c r="VB51" s="3"/>
      <c r="VC51" s="3"/>
      <c r="VD51" s="3"/>
      <c r="VE51" s="3"/>
      <c r="VF51" s="3"/>
      <c r="VG51" s="3"/>
      <c r="VH51" s="3"/>
      <c r="VI51" s="3"/>
      <c r="VJ51" s="3"/>
      <c r="VK51" s="3"/>
      <c r="VL51" s="3"/>
      <c r="VM51" s="3"/>
      <c r="VN51" s="3"/>
      <c r="VO51" s="3"/>
      <c r="VP51" s="3"/>
      <c r="VQ51" s="3"/>
      <c r="VR51" s="3"/>
      <c r="VS51" s="3"/>
      <c r="VT51" s="3"/>
      <c r="VU51" s="3"/>
      <c r="VV51" s="3"/>
      <c r="VW51" s="3"/>
      <c r="VX51" s="3"/>
      <c r="VY51" s="3"/>
      <c r="VZ51" s="3"/>
      <c r="WA51" s="3"/>
      <c r="WB51" s="3"/>
      <c r="WC51" s="3"/>
      <c r="WD51" s="3"/>
      <c r="WE51" s="3"/>
      <c r="WF51" s="3"/>
      <c r="WG51" s="3"/>
      <c r="WH51" s="3"/>
      <c r="WI51" s="3"/>
      <c r="WJ51" s="3"/>
      <c r="WK51" s="3"/>
      <c r="WL51" s="3"/>
      <c r="WM51" s="3"/>
      <c r="WN51" s="3"/>
      <c r="WO51" s="3"/>
      <c r="WP51" s="3"/>
      <c r="WQ51" s="3"/>
      <c r="WR51" s="3"/>
      <c r="WS51" s="3"/>
      <c r="WT51" s="3"/>
      <c r="WU51" s="3"/>
      <c r="WV51" s="3"/>
      <c r="WW51" s="3"/>
      <c r="WX51" s="3"/>
      <c r="WY51" s="3"/>
      <c r="WZ51" s="3"/>
      <c r="XA51" s="3"/>
      <c r="XB51" s="3"/>
      <c r="XC51" s="3"/>
      <c r="XD51" s="3"/>
      <c r="XE51" s="3"/>
      <c r="XF51" s="3"/>
      <c r="XG51" s="3"/>
      <c r="XH51" s="3"/>
      <c r="XI51" s="3"/>
      <c r="XJ51" s="3"/>
      <c r="XK51" s="3"/>
      <c r="XL51" s="3"/>
      <c r="XM51" s="3"/>
      <c r="XN51" s="3"/>
      <c r="XO51" s="3"/>
      <c r="XP51" s="3"/>
      <c r="XQ51" s="3"/>
      <c r="XR51" s="3"/>
      <c r="XS51" s="3"/>
      <c r="XT51" s="3"/>
      <c r="XU51" s="3"/>
      <c r="XV51" s="3"/>
      <c r="XW51" s="3"/>
      <c r="XX51" s="3"/>
      <c r="XY51" s="3"/>
      <c r="XZ51" s="3"/>
      <c r="YA51" s="3"/>
      <c r="YB51" s="3"/>
      <c r="YC51" s="3"/>
      <c r="YD51" s="3"/>
      <c r="YE51" s="3"/>
      <c r="YF51" s="3"/>
      <c r="YG51" s="3"/>
      <c r="YH51" s="3"/>
      <c r="YI51" s="3"/>
      <c r="YJ51" s="3"/>
      <c r="YK51" s="3"/>
      <c r="YL51" s="3"/>
      <c r="YM51" s="3"/>
      <c r="YN51" s="3"/>
      <c r="YO51" s="3"/>
      <c r="YP51" s="3"/>
      <c r="YQ51" s="3"/>
      <c r="YR51" s="3"/>
      <c r="YS51" s="3"/>
      <c r="YT51" s="3"/>
      <c r="YU51" s="3"/>
      <c r="YV51" s="3"/>
      <c r="YW51" s="3"/>
      <c r="YX51" s="3"/>
      <c r="YY51" s="3"/>
      <c r="YZ51" s="3"/>
      <c r="ZA51" s="3"/>
      <c r="ZB51" s="3"/>
      <c r="ZC51" s="3"/>
      <c r="ZD51" s="3"/>
      <c r="ZE51" s="3"/>
      <c r="ZF51" s="3"/>
      <c r="ZG51" s="3"/>
      <c r="ZH51" s="3"/>
      <c r="ZI51" s="3"/>
      <c r="ZJ51" s="3"/>
      <c r="ZK51" s="3"/>
      <c r="ZL51" s="3"/>
      <c r="ZM51" s="3"/>
      <c r="ZN51" s="3"/>
      <c r="ZO51" s="3"/>
      <c r="ZP51" s="3"/>
      <c r="ZQ51" s="3"/>
      <c r="ZR51" s="3"/>
      <c r="ZS51" s="3"/>
      <c r="ZT51" s="3"/>
      <c r="ZU51" s="3"/>
      <c r="ZV51" s="3"/>
      <c r="ZW51" s="3"/>
      <c r="ZX51" s="3"/>
      <c r="ZY51" s="3"/>
      <c r="ZZ51" s="3"/>
      <c r="AAA51" s="3"/>
      <c r="AAB51" s="3"/>
      <c r="AAC51" s="3"/>
      <c r="AAD51" s="3"/>
      <c r="AAE51" s="3"/>
      <c r="AAF51" s="3"/>
      <c r="AAG51" s="3"/>
      <c r="AAH51" s="3"/>
      <c r="AAI51" s="3"/>
      <c r="AAJ51" s="3"/>
      <c r="AAK51" s="3"/>
      <c r="AAL51" s="3"/>
      <c r="AAM51" s="3"/>
      <c r="AAN51" s="3"/>
      <c r="AAO51" s="3"/>
      <c r="AAP51" s="3"/>
      <c r="AAQ51" s="3"/>
      <c r="AAR51" s="3"/>
      <c r="AAS51" s="3"/>
      <c r="AAT51" s="3"/>
      <c r="AAU51" s="3"/>
      <c r="AAV51" s="3"/>
      <c r="AAW51" s="3"/>
      <c r="AAX51" s="3"/>
      <c r="AAY51" s="3"/>
      <c r="AAZ51" s="3"/>
      <c r="ABA51" s="3"/>
      <c r="ABB51" s="3"/>
      <c r="ABC51" s="3"/>
      <c r="ABD51" s="3"/>
      <c r="ABE51" s="3"/>
      <c r="ABF51" s="3"/>
      <c r="ABG51" s="3"/>
      <c r="ABH51" s="3"/>
      <c r="ABI51" s="3"/>
      <c r="ABJ51" s="3"/>
      <c r="ABK51" s="3"/>
      <c r="ABL51" s="3"/>
      <c r="ABM51" s="3"/>
      <c r="ABN51" s="3"/>
      <c r="ABO51" s="3"/>
      <c r="ABP51" s="3"/>
      <c r="ABQ51" s="3"/>
      <c r="ABR51" s="3"/>
      <c r="ABS51" s="3"/>
      <c r="ABT51" s="3"/>
      <c r="ABU51" s="3"/>
      <c r="ABV51" s="3"/>
      <c r="ABW51" s="3"/>
      <c r="ABX51" s="3"/>
      <c r="ABY51" s="3"/>
      <c r="ABZ51" s="3"/>
      <c r="ACA51" s="3"/>
      <c r="ACB51" s="3"/>
      <c r="ACC51" s="3"/>
      <c r="ACD51" s="3"/>
      <c r="ACE51" s="3"/>
      <c r="ACF51" s="3"/>
      <c r="ACG51" s="3"/>
      <c r="ACH51" s="3"/>
      <c r="ACI51" s="3"/>
      <c r="ACJ51" s="3"/>
      <c r="ACK51" s="3"/>
      <c r="ACL51" s="3"/>
      <c r="ACM51" s="3"/>
      <c r="ACN51" s="3"/>
      <c r="ACO51" s="3"/>
      <c r="ACP51" s="3"/>
      <c r="ACQ51" s="3"/>
      <c r="ACR51" s="3"/>
      <c r="ACS51" s="3"/>
      <c r="ACT51" s="3"/>
      <c r="ACU51" s="3"/>
      <c r="ACV51" s="3"/>
      <c r="ACW51" s="3"/>
      <c r="ACX51" s="3"/>
      <c r="ACY51" s="3"/>
      <c r="ACZ51" s="3"/>
      <c r="ADA51" s="3"/>
      <c r="ADB51" s="3"/>
      <c r="ADC51" s="3"/>
      <c r="ADD51" s="3"/>
      <c r="ADE51" s="3"/>
      <c r="ADF51" s="3"/>
      <c r="ADG51" s="3"/>
      <c r="ADH51" s="3"/>
      <c r="ADI51" s="3"/>
      <c r="ADJ51" s="3"/>
      <c r="ADK51" s="3"/>
      <c r="ADL51" s="3"/>
      <c r="ADM51" s="3"/>
      <c r="ADN51" s="3"/>
      <c r="ADO51" s="3"/>
      <c r="ADP51" s="3"/>
      <c r="ADQ51" s="3"/>
      <c r="ADR51" s="3"/>
      <c r="ADS51" s="3"/>
      <c r="ADT51" s="3"/>
      <c r="ADU51" s="3"/>
      <c r="ADV51" s="3"/>
      <c r="ADW51" s="3"/>
      <c r="ADX51" s="3"/>
      <c r="ADY51" s="3"/>
      <c r="ADZ51" s="3"/>
      <c r="AEA51" s="3"/>
      <c r="AEB51" s="3"/>
      <c r="AEC51" s="3"/>
      <c r="AED51" s="3"/>
      <c r="AEE51" s="3"/>
      <c r="AEF51" s="3"/>
      <c r="AEG51" s="3"/>
      <c r="AEH51" s="3"/>
      <c r="AEI51" s="3"/>
      <c r="AEJ51" s="3"/>
      <c r="AEK51" s="3"/>
      <c r="AEL51" s="3"/>
      <c r="AEM51" s="3"/>
      <c r="AEN51" s="3"/>
      <c r="AEO51" s="3"/>
      <c r="AEP51" s="3"/>
      <c r="AEQ51" s="3"/>
      <c r="AER51" s="3"/>
      <c r="AES51" s="3"/>
      <c r="AET51" s="3"/>
      <c r="AEU51" s="3"/>
      <c r="AEV51" s="3"/>
      <c r="AEW51" s="3"/>
      <c r="AEX51" s="3"/>
      <c r="AEY51" s="3"/>
      <c r="AEZ51" s="3"/>
      <c r="AFA51" s="3"/>
      <c r="AFB51" s="3"/>
      <c r="AFC51" s="3"/>
      <c r="AFD51" s="3"/>
      <c r="AFE51" s="3"/>
      <c r="AFF51" s="3"/>
      <c r="AFG51" s="3"/>
      <c r="AFH51" s="3"/>
      <c r="AFI51" s="3"/>
      <c r="AFJ51" s="3"/>
      <c r="AFK51" s="3"/>
      <c r="AFL51" s="3"/>
      <c r="AFM51" s="3"/>
      <c r="AFN51" s="3"/>
      <c r="AFO51" s="3"/>
      <c r="AFP51" s="3"/>
      <c r="AFQ51" s="3"/>
      <c r="AFR51" s="3"/>
      <c r="AFS51" s="3"/>
      <c r="AFT51" s="3"/>
      <c r="AFU51" s="3"/>
      <c r="AFV51" s="3"/>
      <c r="AFW51" s="3"/>
      <c r="AFX51" s="3"/>
      <c r="AFY51" s="3"/>
      <c r="AFZ51" s="3"/>
      <c r="AGA51" s="3"/>
      <c r="AGB51" s="3"/>
      <c r="AGC51" s="3"/>
      <c r="AGD51" s="3"/>
      <c r="AGE51" s="3"/>
      <c r="AGF51" s="3"/>
      <c r="AGG51" s="3"/>
      <c r="AGH51" s="3"/>
      <c r="AGI51" s="3"/>
      <c r="AGJ51" s="3"/>
      <c r="AGK51" s="3"/>
      <c r="AGL51" s="3"/>
      <c r="AGM51" s="3"/>
      <c r="AGN51" s="3"/>
      <c r="AGO51" s="3"/>
      <c r="AGP51" s="3"/>
      <c r="AGQ51" s="3"/>
      <c r="AGR51" s="3"/>
      <c r="AGS51" s="3"/>
      <c r="AGT51" s="3"/>
      <c r="AGU51" s="3"/>
      <c r="AGV51" s="3"/>
      <c r="AGW51" s="3"/>
      <c r="AGX51" s="3"/>
      <c r="AGY51" s="3"/>
      <c r="AGZ51" s="3"/>
      <c r="AHA51" s="3"/>
      <c r="AHB51" s="3"/>
      <c r="AHC51" s="3"/>
      <c r="AHD51" s="3"/>
      <c r="AHE51" s="3"/>
      <c r="AHF51" s="3"/>
      <c r="AHG51" s="3"/>
      <c r="AHH51" s="3"/>
      <c r="AHI51" s="3"/>
      <c r="AHJ51" s="3"/>
      <c r="AHK51" s="3"/>
      <c r="AHL51" s="3"/>
      <c r="AHM51" s="3"/>
      <c r="AHN51" s="3"/>
      <c r="AHO51" s="3"/>
      <c r="AHP51" s="3"/>
      <c r="AHQ51" s="3"/>
      <c r="AHR51" s="3"/>
      <c r="AHS51" s="3"/>
      <c r="AHT51" s="3"/>
      <c r="AHU51" s="3"/>
      <c r="AHV51" s="3"/>
      <c r="AHW51" s="3"/>
      <c r="AHX51" s="3"/>
      <c r="AHY51" s="3"/>
      <c r="AHZ51" s="3"/>
      <c r="AIA51" s="3"/>
      <c r="AIB51" s="3"/>
      <c r="AIC51" s="3"/>
      <c r="AID51" s="3"/>
      <c r="AIE51" s="3"/>
      <c r="AIF51" s="3"/>
      <c r="AIG51" s="3"/>
      <c r="AIH51" s="3"/>
      <c r="AII51" s="3"/>
      <c r="AIJ51" s="3"/>
      <c r="AIK51" s="3"/>
      <c r="AIL51" s="3"/>
      <c r="AIM51" s="3"/>
      <c r="AIN51" s="3"/>
      <c r="AIO51" s="3"/>
      <c r="AIP51" s="3"/>
      <c r="AIQ51" s="3"/>
      <c r="AIR51" s="3"/>
      <c r="AIS51" s="3"/>
      <c r="AIT51" s="3"/>
      <c r="AIU51" s="3"/>
      <c r="AIV51" s="3"/>
      <c r="AIW51" s="3"/>
      <c r="AIX51" s="3"/>
      <c r="AIY51" s="3"/>
      <c r="AIZ51" s="3"/>
      <c r="AJA51" s="3"/>
      <c r="AJB51" s="3"/>
      <c r="AJC51" s="3"/>
      <c r="AJD51" s="3"/>
      <c r="AJE51" s="3"/>
      <c r="AJF51" s="3"/>
      <c r="AJG51" s="3"/>
      <c r="AJH51" s="3"/>
      <c r="AJI51" s="3"/>
      <c r="AJJ51" s="3"/>
      <c r="AJK51" s="3"/>
      <c r="AJL51" s="3"/>
      <c r="AJM51" s="3"/>
      <c r="AJN51" s="3"/>
      <c r="AJO51" s="3"/>
      <c r="AJP51" s="3"/>
      <c r="AJQ51" s="3"/>
      <c r="AJR51" s="3"/>
      <c r="AJS51" s="3"/>
      <c r="AJT51" s="3"/>
      <c r="AJU51" s="3"/>
      <c r="AJV51" s="3"/>
      <c r="AJW51" s="3"/>
      <c r="AJX51" s="3"/>
      <c r="AJY51" s="3"/>
      <c r="AJZ51" s="3"/>
      <c r="AKA51" s="3"/>
      <c r="AKB51" s="3"/>
      <c r="AKC51" s="3"/>
      <c r="AKD51" s="3"/>
      <c r="AKE51" s="3"/>
      <c r="AKF51" s="3"/>
      <c r="AKG51" s="3"/>
      <c r="AKH51" s="3"/>
      <c r="AKI51" s="3"/>
      <c r="AKJ51" s="3"/>
      <c r="AKK51" s="3"/>
      <c r="AKL51" s="3"/>
      <c r="AKM51" s="3"/>
      <c r="AKN51" s="3"/>
      <c r="AKO51" s="3"/>
      <c r="AKP51" s="3"/>
      <c r="AKQ51" s="3"/>
      <c r="AKR51" s="3"/>
      <c r="AKS51" s="3"/>
      <c r="AKT51" s="3"/>
      <c r="AKU51" s="3"/>
      <c r="AKV51" s="3"/>
      <c r="AKW51" s="3"/>
      <c r="AKX51" s="3"/>
      <c r="AKY51" s="3"/>
      <c r="AKZ51" s="3"/>
      <c r="ALA51" s="3"/>
      <c r="ALB51" s="3"/>
      <c r="ALC51" s="3"/>
      <c r="ALD51" s="3"/>
      <c r="ALE51" s="3"/>
      <c r="ALF51" s="3"/>
      <c r="ALG51" s="3"/>
      <c r="ALH51" s="3"/>
      <c r="ALI51" s="3"/>
      <c r="ALJ51" s="3"/>
      <c r="ALK51" s="3"/>
      <c r="ALL51" s="3"/>
      <c r="ALM51" s="3"/>
      <c r="ALN51" s="3"/>
      <c r="ALO51" s="3"/>
      <c r="ALP51" s="3"/>
      <c r="ALQ51" s="3"/>
      <c r="ALR51" s="3"/>
      <c r="ALS51" s="3"/>
      <c r="ALT51" s="3"/>
      <c r="ALU51" s="3"/>
      <c r="ALV51" s="3"/>
      <c r="ALW51" s="3"/>
      <c r="ALX51" s="3"/>
      <c r="ALY51" s="3"/>
      <c r="ALZ51" s="3"/>
      <c r="AMA51" s="3"/>
      <c r="AMB51" s="3"/>
      <c r="AMC51" s="3"/>
      <c r="AMD51" s="3"/>
      <c r="AME51" s="3"/>
      <c r="AMF51" s="3"/>
      <c r="AMG51" s="3"/>
      <c r="AMH51" s="3"/>
      <c r="AMI51" s="3"/>
      <c r="AMJ51" s="3"/>
      <c r="AMK51" s="3"/>
    </row>
    <row r="52" spans="1:1025" x14ac:dyDescent="0.25">
      <c r="A52" s="19" t="s">
        <v>330</v>
      </c>
      <c r="B52" s="3">
        <v>80</v>
      </c>
      <c r="C52" s="3" t="s">
        <v>60</v>
      </c>
      <c r="D52" s="3" t="s">
        <v>100</v>
      </c>
      <c r="E52" s="3"/>
      <c r="F52" s="3">
        <v>0</v>
      </c>
      <c r="G52" s="3">
        <v>4294967294</v>
      </c>
      <c r="H52" s="3"/>
      <c r="I52" s="3" t="s">
        <v>101</v>
      </c>
      <c r="J52" s="1" t="s">
        <v>489</v>
      </c>
      <c r="K52" s="22"/>
      <c r="L52" s="1"/>
      <c r="M52" s="1"/>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c r="FZ52" s="3"/>
      <c r="GA52" s="3"/>
      <c r="GB52" s="3"/>
      <c r="GC52" s="3"/>
      <c r="GD52" s="3"/>
      <c r="GE52" s="3"/>
      <c r="GF52" s="3"/>
      <c r="GG52" s="3"/>
      <c r="GH52" s="3"/>
      <c r="GI52" s="3"/>
      <c r="GJ52" s="3"/>
      <c r="GK52" s="3"/>
      <c r="GL52" s="3"/>
      <c r="GM52" s="3"/>
      <c r="GN52" s="3"/>
      <c r="GO52" s="3"/>
      <c r="GP52" s="3"/>
      <c r="GQ52" s="3"/>
      <c r="GR52" s="3"/>
      <c r="GS52" s="3"/>
      <c r="GT52" s="3"/>
      <c r="GU52" s="3"/>
      <c r="GV52" s="3"/>
      <c r="GW52" s="3"/>
      <c r="GX52" s="3"/>
      <c r="GY52" s="3"/>
      <c r="GZ52" s="3"/>
      <c r="HA52" s="3"/>
      <c r="HB52" s="3"/>
      <c r="HC52" s="3"/>
      <c r="HD52" s="3"/>
      <c r="HE52" s="3"/>
      <c r="HF52" s="3"/>
      <c r="HG52" s="3"/>
      <c r="HH52" s="3"/>
      <c r="HI52" s="3"/>
      <c r="HJ52" s="3"/>
      <c r="HK52" s="3"/>
      <c r="HL52" s="3"/>
      <c r="HM52" s="3"/>
      <c r="HN52" s="3"/>
      <c r="HO52" s="3"/>
      <c r="HP52" s="3"/>
      <c r="HQ52" s="3"/>
      <c r="HR52" s="3"/>
      <c r="HS52" s="3"/>
      <c r="HT52" s="3"/>
      <c r="HU52" s="3"/>
      <c r="HV52" s="3"/>
      <c r="HW52" s="3"/>
      <c r="HX52" s="3"/>
      <c r="HY52" s="3"/>
      <c r="HZ52" s="3"/>
      <c r="IA52" s="3"/>
      <c r="IB52" s="3"/>
      <c r="IC52" s="3"/>
      <c r="ID52" s="3"/>
      <c r="IE52" s="3"/>
      <c r="IF52" s="3"/>
      <c r="IG52" s="3"/>
      <c r="IH52" s="3"/>
      <c r="II52" s="3"/>
      <c r="IJ52" s="3"/>
      <c r="IK52" s="3"/>
      <c r="IL52" s="3"/>
      <c r="IM52" s="3"/>
      <c r="IN52" s="3"/>
      <c r="IO52" s="3"/>
      <c r="IP52" s="3"/>
      <c r="IQ52" s="3"/>
      <c r="IR52" s="3"/>
      <c r="IS52" s="3"/>
      <c r="IT52" s="3"/>
      <c r="IU52" s="3"/>
      <c r="IV52" s="3"/>
      <c r="IW52" s="3"/>
      <c r="IX52" s="3"/>
      <c r="IY52" s="3"/>
      <c r="IZ52" s="3"/>
      <c r="JA52" s="3"/>
      <c r="JB52" s="3"/>
      <c r="JC52" s="3"/>
      <c r="JD52" s="3"/>
      <c r="JE52" s="3"/>
      <c r="JF52" s="3"/>
      <c r="JG52" s="3"/>
      <c r="JH52" s="3"/>
      <c r="JI52" s="3"/>
      <c r="JJ52" s="3"/>
      <c r="JK52" s="3"/>
      <c r="JL52" s="3"/>
      <c r="JM52" s="3"/>
      <c r="JN52" s="3"/>
      <c r="JO52" s="3"/>
      <c r="JP52" s="3"/>
      <c r="JQ52" s="3"/>
      <c r="JR52" s="3"/>
      <c r="JS52" s="3"/>
      <c r="JT52" s="3"/>
      <c r="JU52" s="3"/>
      <c r="JV52" s="3"/>
      <c r="JW52" s="3"/>
      <c r="JX52" s="3"/>
      <c r="JY52" s="3"/>
      <c r="JZ52" s="3"/>
      <c r="KA52" s="3"/>
      <c r="KB52" s="3"/>
      <c r="KC52" s="3"/>
      <c r="KD52" s="3"/>
      <c r="KE52" s="3"/>
      <c r="KF52" s="3"/>
      <c r="KG52" s="3"/>
      <c r="KH52" s="3"/>
      <c r="KI52" s="3"/>
      <c r="KJ52" s="3"/>
      <c r="KK52" s="3"/>
      <c r="KL52" s="3"/>
      <c r="KM52" s="3"/>
      <c r="KN52" s="3"/>
      <c r="KO52" s="3"/>
      <c r="KP52" s="3"/>
      <c r="KQ52" s="3"/>
      <c r="KR52" s="3"/>
      <c r="KS52" s="3"/>
      <c r="KT52" s="3"/>
      <c r="KU52" s="3"/>
      <c r="KV52" s="3"/>
      <c r="KW52" s="3"/>
      <c r="KX52" s="3"/>
      <c r="KY52" s="3"/>
      <c r="KZ52" s="3"/>
      <c r="LA52" s="3"/>
      <c r="LB52" s="3"/>
      <c r="LC52" s="3"/>
      <c r="LD52" s="3"/>
      <c r="LE52" s="3"/>
      <c r="LF52" s="3"/>
      <c r="LG52" s="3"/>
      <c r="LH52" s="3"/>
      <c r="LI52" s="3"/>
      <c r="LJ52" s="3"/>
      <c r="LK52" s="3"/>
      <c r="LL52" s="3"/>
      <c r="LM52" s="3"/>
      <c r="LN52" s="3"/>
      <c r="LO52" s="3"/>
      <c r="LP52" s="3"/>
      <c r="LQ52" s="3"/>
      <c r="LR52" s="3"/>
      <c r="LS52" s="3"/>
      <c r="LT52" s="3"/>
      <c r="LU52" s="3"/>
      <c r="LV52" s="3"/>
      <c r="LW52" s="3"/>
      <c r="LX52" s="3"/>
      <c r="LY52" s="3"/>
      <c r="LZ52" s="3"/>
      <c r="MA52" s="3"/>
      <c r="MB52" s="3"/>
      <c r="MC52" s="3"/>
      <c r="MD52" s="3"/>
      <c r="ME52" s="3"/>
      <c r="MF52" s="3"/>
      <c r="MG52" s="3"/>
      <c r="MH52" s="3"/>
      <c r="MI52" s="3"/>
      <c r="MJ52" s="3"/>
      <c r="MK52" s="3"/>
      <c r="ML52" s="3"/>
      <c r="MM52" s="3"/>
      <c r="MN52" s="3"/>
      <c r="MO52" s="3"/>
      <c r="MP52" s="3"/>
      <c r="MQ52" s="3"/>
      <c r="MR52" s="3"/>
      <c r="MS52" s="3"/>
      <c r="MT52" s="3"/>
      <c r="MU52" s="3"/>
      <c r="MV52" s="3"/>
      <c r="MW52" s="3"/>
      <c r="MX52" s="3"/>
      <c r="MY52" s="3"/>
      <c r="MZ52" s="3"/>
      <c r="NA52" s="3"/>
      <c r="NB52" s="3"/>
      <c r="NC52" s="3"/>
      <c r="ND52" s="3"/>
      <c r="NE52" s="3"/>
      <c r="NF52" s="3"/>
      <c r="NG52" s="3"/>
      <c r="NH52" s="3"/>
      <c r="NI52" s="3"/>
      <c r="NJ52" s="3"/>
      <c r="NK52" s="3"/>
      <c r="NL52" s="3"/>
      <c r="NM52" s="3"/>
      <c r="NN52" s="3"/>
      <c r="NO52" s="3"/>
      <c r="NP52" s="3"/>
      <c r="NQ52" s="3"/>
      <c r="NR52" s="3"/>
      <c r="NS52" s="3"/>
      <c r="NT52" s="3"/>
      <c r="NU52" s="3"/>
      <c r="NV52" s="3"/>
      <c r="NW52" s="3"/>
      <c r="NX52" s="3"/>
      <c r="NY52" s="3"/>
      <c r="NZ52" s="3"/>
      <c r="OA52" s="3"/>
      <c r="OB52" s="3"/>
      <c r="OC52" s="3"/>
      <c r="OD52" s="3"/>
      <c r="OE52" s="3"/>
      <c r="OF52" s="3"/>
      <c r="OG52" s="3"/>
      <c r="OH52" s="3"/>
      <c r="OI52" s="3"/>
      <c r="OJ52" s="3"/>
      <c r="OK52" s="3"/>
      <c r="OL52" s="3"/>
      <c r="OM52" s="3"/>
      <c r="ON52" s="3"/>
      <c r="OO52" s="3"/>
      <c r="OP52" s="3"/>
      <c r="OQ52" s="3"/>
      <c r="OR52" s="3"/>
      <c r="OS52" s="3"/>
      <c r="OT52" s="3"/>
      <c r="OU52" s="3"/>
      <c r="OV52" s="3"/>
      <c r="OW52" s="3"/>
      <c r="OX52" s="3"/>
      <c r="OY52" s="3"/>
      <c r="OZ52" s="3"/>
      <c r="PA52" s="3"/>
      <c r="PB52" s="3"/>
      <c r="PC52" s="3"/>
      <c r="PD52" s="3"/>
      <c r="PE52" s="3"/>
      <c r="PF52" s="3"/>
      <c r="PG52" s="3"/>
      <c r="PH52" s="3"/>
      <c r="PI52" s="3"/>
      <c r="PJ52" s="3"/>
      <c r="PK52" s="3"/>
      <c r="PL52" s="3"/>
      <c r="PM52" s="3"/>
      <c r="PN52" s="3"/>
      <c r="PO52" s="3"/>
      <c r="PP52" s="3"/>
      <c r="PQ52" s="3"/>
      <c r="PR52" s="3"/>
      <c r="PS52" s="3"/>
      <c r="PT52" s="3"/>
      <c r="PU52" s="3"/>
      <c r="PV52" s="3"/>
      <c r="PW52" s="3"/>
      <c r="PX52" s="3"/>
      <c r="PY52" s="3"/>
      <c r="PZ52" s="3"/>
      <c r="QA52" s="3"/>
      <c r="QB52" s="3"/>
      <c r="QC52" s="3"/>
      <c r="QD52" s="3"/>
      <c r="QE52" s="3"/>
      <c r="QF52" s="3"/>
      <c r="QG52" s="3"/>
      <c r="QH52" s="3"/>
      <c r="QI52" s="3"/>
      <c r="QJ52" s="3"/>
      <c r="QK52" s="3"/>
      <c r="QL52" s="3"/>
      <c r="QM52" s="3"/>
      <c r="QN52" s="3"/>
      <c r="QO52" s="3"/>
      <c r="QP52" s="3"/>
      <c r="QQ52" s="3"/>
      <c r="QR52" s="3"/>
      <c r="QS52" s="3"/>
      <c r="QT52" s="3"/>
      <c r="QU52" s="3"/>
      <c r="QV52" s="3"/>
      <c r="QW52" s="3"/>
      <c r="QX52" s="3"/>
      <c r="QY52" s="3"/>
      <c r="QZ52" s="3"/>
      <c r="RA52" s="3"/>
      <c r="RB52" s="3"/>
      <c r="RC52" s="3"/>
      <c r="RD52" s="3"/>
      <c r="RE52" s="3"/>
      <c r="RF52" s="3"/>
      <c r="RG52" s="3"/>
      <c r="RH52" s="3"/>
      <c r="RI52" s="3"/>
      <c r="RJ52" s="3"/>
      <c r="RK52" s="3"/>
      <c r="RL52" s="3"/>
      <c r="RM52" s="3"/>
      <c r="RN52" s="3"/>
      <c r="RO52" s="3"/>
      <c r="RP52" s="3"/>
      <c r="RQ52" s="3"/>
      <c r="RR52" s="3"/>
      <c r="RS52" s="3"/>
      <c r="RT52" s="3"/>
      <c r="RU52" s="3"/>
      <c r="RV52" s="3"/>
      <c r="RW52" s="3"/>
      <c r="RX52" s="3"/>
      <c r="RY52" s="3"/>
      <c r="RZ52" s="3"/>
      <c r="SA52" s="3"/>
      <c r="SB52" s="3"/>
      <c r="SC52" s="3"/>
      <c r="SD52" s="3"/>
      <c r="SE52" s="3"/>
      <c r="SF52" s="3"/>
      <c r="SG52" s="3"/>
      <c r="SH52" s="3"/>
      <c r="SI52" s="3"/>
      <c r="SJ52" s="3"/>
      <c r="SK52" s="3"/>
      <c r="SL52" s="3"/>
      <c r="SM52" s="3"/>
      <c r="SN52" s="3"/>
      <c r="SO52" s="3"/>
      <c r="SP52" s="3"/>
      <c r="SQ52" s="3"/>
      <c r="SR52" s="3"/>
      <c r="SS52" s="3"/>
      <c r="ST52" s="3"/>
      <c r="SU52" s="3"/>
      <c r="SV52" s="3"/>
      <c r="SW52" s="3"/>
      <c r="SX52" s="3"/>
      <c r="SY52" s="3"/>
      <c r="SZ52" s="3"/>
      <c r="TA52" s="3"/>
      <c r="TB52" s="3"/>
      <c r="TC52" s="3"/>
      <c r="TD52" s="3"/>
      <c r="TE52" s="3"/>
      <c r="TF52" s="3"/>
      <c r="TG52" s="3"/>
      <c r="TH52" s="3"/>
      <c r="TI52" s="3"/>
      <c r="TJ52" s="3"/>
      <c r="TK52" s="3"/>
      <c r="TL52" s="3"/>
      <c r="TM52" s="3"/>
      <c r="TN52" s="3"/>
      <c r="TO52" s="3"/>
      <c r="TP52" s="3"/>
      <c r="TQ52" s="3"/>
      <c r="TR52" s="3"/>
      <c r="TS52" s="3"/>
      <c r="TT52" s="3"/>
      <c r="TU52" s="3"/>
      <c r="TV52" s="3"/>
      <c r="TW52" s="3"/>
      <c r="TX52" s="3"/>
      <c r="TY52" s="3"/>
      <c r="TZ52" s="3"/>
      <c r="UA52" s="3"/>
      <c r="UB52" s="3"/>
      <c r="UC52" s="3"/>
      <c r="UD52" s="3"/>
      <c r="UE52" s="3"/>
      <c r="UF52" s="3"/>
      <c r="UG52" s="3"/>
      <c r="UH52" s="3"/>
      <c r="UI52" s="3"/>
      <c r="UJ52" s="3"/>
      <c r="UK52" s="3"/>
      <c r="UL52" s="3"/>
      <c r="UM52" s="3"/>
      <c r="UN52" s="3"/>
      <c r="UO52" s="3"/>
      <c r="UP52" s="3"/>
      <c r="UQ52" s="3"/>
      <c r="UR52" s="3"/>
      <c r="US52" s="3"/>
      <c r="UT52" s="3"/>
      <c r="UU52" s="3"/>
      <c r="UV52" s="3"/>
      <c r="UW52" s="3"/>
      <c r="UX52" s="3"/>
      <c r="UY52" s="3"/>
      <c r="UZ52" s="3"/>
      <c r="VA52" s="3"/>
      <c r="VB52" s="3"/>
      <c r="VC52" s="3"/>
      <c r="VD52" s="3"/>
      <c r="VE52" s="3"/>
      <c r="VF52" s="3"/>
      <c r="VG52" s="3"/>
      <c r="VH52" s="3"/>
      <c r="VI52" s="3"/>
      <c r="VJ52" s="3"/>
      <c r="VK52" s="3"/>
      <c r="VL52" s="3"/>
      <c r="VM52" s="3"/>
      <c r="VN52" s="3"/>
      <c r="VO52" s="3"/>
      <c r="VP52" s="3"/>
      <c r="VQ52" s="3"/>
      <c r="VR52" s="3"/>
      <c r="VS52" s="3"/>
      <c r="VT52" s="3"/>
      <c r="VU52" s="3"/>
      <c r="VV52" s="3"/>
      <c r="VW52" s="3"/>
      <c r="VX52" s="3"/>
      <c r="VY52" s="3"/>
      <c r="VZ52" s="3"/>
      <c r="WA52" s="3"/>
      <c r="WB52" s="3"/>
      <c r="WC52" s="3"/>
      <c r="WD52" s="3"/>
      <c r="WE52" s="3"/>
      <c r="WF52" s="3"/>
      <c r="WG52" s="3"/>
      <c r="WH52" s="3"/>
      <c r="WI52" s="3"/>
      <c r="WJ52" s="3"/>
      <c r="WK52" s="3"/>
      <c r="WL52" s="3"/>
      <c r="WM52" s="3"/>
      <c r="WN52" s="3"/>
      <c r="WO52" s="3"/>
      <c r="WP52" s="3"/>
      <c r="WQ52" s="3"/>
      <c r="WR52" s="3"/>
      <c r="WS52" s="3"/>
      <c r="WT52" s="3"/>
      <c r="WU52" s="3"/>
      <c r="WV52" s="3"/>
      <c r="WW52" s="3"/>
      <c r="WX52" s="3"/>
      <c r="WY52" s="3"/>
      <c r="WZ52" s="3"/>
      <c r="XA52" s="3"/>
      <c r="XB52" s="3"/>
      <c r="XC52" s="3"/>
      <c r="XD52" s="3"/>
      <c r="XE52" s="3"/>
      <c r="XF52" s="3"/>
      <c r="XG52" s="3"/>
      <c r="XH52" s="3"/>
      <c r="XI52" s="3"/>
      <c r="XJ52" s="3"/>
      <c r="XK52" s="3"/>
      <c r="XL52" s="3"/>
      <c r="XM52" s="3"/>
      <c r="XN52" s="3"/>
      <c r="XO52" s="3"/>
      <c r="XP52" s="3"/>
      <c r="XQ52" s="3"/>
      <c r="XR52" s="3"/>
      <c r="XS52" s="3"/>
      <c r="XT52" s="3"/>
      <c r="XU52" s="3"/>
      <c r="XV52" s="3"/>
      <c r="XW52" s="3"/>
      <c r="XX52" s="3"/>
      <c r="XY52" s="3"/>
      <c r="XZ52" s="3"/>
      <c r="YA52" s="3"/>
      <c r="YB52" s="3"/>
      <c r="YC52" s="3"/>
      <c r="YD52" s="3"/>
      <c r="YE52" s="3"/>
      <c r="YF52" s="3"/>
      <c r="YG52" s="3"/>
      <c r="YH52" s="3"/>
      <c r="YI52" s="3"/>
      <c r="YJ52" s="3"/>
      <c r="YK52" s="3"/>
      <c r="YL52" s="3"/>
      <c r="YM52" s="3"/>
      <c r="YN52" s="3"/>
      <c r="YO52" s="3"/>
      <c r="YP52" s="3"/>
      <c r="YQ52" s="3"/>
      <c r="YR52" s="3"/>
      <c r="YS52" s="3"/>
      <c r="YT52" s="3"/>
      <c r="YU52" s="3"/>
      <c r="YV52" s="3"/>
      <c r="YW52" s="3"/>
      <c r="YX52" s="3"/>
      <c r="YY52" s="3"/>
      <c r="YZ52" s="3"/>
      <c r="ZA52" s="3"/>
      <c r="ZB52" s="3"/>
      <c r="ZC52" s="3"/>
      <c r="ZD52" s="3"/>
      <c r="ZE52" s="3"/>
      <c r="ZF52" s="3"/>
      <c r="ZG52" s="3"/>
      <c r="ZH52" s="3"/>
      <c r="ZI52" s="3"/>
      <c r="ZJ52" s="3"/>
      <c r="ZK52" s="3"/>
      <c r="ZL52" s="3"/>
      <c r="ZM52" s="3"/>
      <c r="ZN52" s="3"/>
      <c r="ZO52" s="3"/>
      <c r="ZP52" s="3"/>
      <c r="ZQ52" s="3"/>
      <c r="ZR52" s="3"/>
      <c r="ZS52" s="3"/>
      <c r="ZT52" s="3"/>
      <c r="ZU52" s="3"/>
      <c r="ZV52" s="3"/>
      <c r="ZW52" s="3"/>
      <c r="ZX52" s="3"/>
      <c r="ZY52" s="3"/>
      <c r="ZZ52" s="3"/>
      <c r="AAA52" s="3"/>
      <c r="AAB52" s="3"/>
      <c r="AAC52" s="3"/>
      <c r="AAD52" s="3"/>
      <c r="AAE52" s="3"/>
      <c r="AAF52" s="3"/>
      <c r="AAG52" s="3"/>
      <c r="AAH52" s="3"/>
      <c r="AAI52" s="3"/>
      <c r="AAJ52" s="3"/>
      <c r="AAK52" s="3"/>
      <c r="AAL52" s="3"/>
      <c r="AAM52" s="3"/>
      <c r="AAN52" s="3"/>
      <c r="AAO52" s="3"/>
      <c r="AAP52" s="3"/>
      <c r="AAQ52" s="3"/>
      <c r="AAR52" s="3"/>
      <c r="AAS52" s="3"/>
      <c r="AAT52" s="3"/>
      <c r="AAU52" s="3"/>
      <c r="AAV52" s="3"/>
      <c r="AAW52" s="3"/>
      <c r="AAX52" s="3"/>
      <c r="AAY52" s="3"/>
      <c r="AAZ52" s="3"/>
      <c r="ABA52" s="3"/>
      <c r="ABB52" s="3"/>
      <c r="ABC52" s="3"/>
      <c r="ABD52" s="3"/>
      <c r="ABE52" s="3"/>
      <c r="ABF52" s="3"/>
      <c r="ABG52" s="3"/>
      <c r="ABH52" s="3"/>
      <c r="ABI52" s="3"/>
      <c r="ABJ52" s="3"/>
      <c r="ABK52" s="3"/>
      <c r="ABL52" s="3"/>
      <c r="ABM52" s="3"/>
      <c r="ABN52" s="3"/>
      <c r="ABO52" s="3"/>
      <c r="ABP52" s="3"/>
      <c r="ABQ52" s="3"/>
      <c r="ABR52" s="3"/>
      <c r="ABS52" s="3"/>
      <c r="ABT52" s="3"/>
      <c r="ABU52" s="3"/>
      <c r="ABV52" s="3"/>
      <c r="ABW52" s="3"/>
      <c r="ABX52" s="3"/>
      <c r="ABY52" s="3"/>
      <c r="ABZ52" s="3"/>
      <c r="ACA52" s="3"/>
      <c r="ACB52" s="3"/>
      <c r="ACC52" s="3"/>
      <c r="ACD52" s="3"/>
      <c r="ACE52" s="3"/>
      <c r="ACF52" s="3"/>
      <c r="ACG52" s="3"/>
      <c r="ACH52" s="3"/>
      <c r="ACI52" s="3"/>
      <c r="ACJ52" s="3"/>
      <c r="ACK52" s="3"/>
      <c r="ACL52" s="3"/>
      <c r="ACM52" s="3"/>
      <c r="ACN52" s="3"/>
      <c r="ACO52" s="3"/>
      <c r="ACP52" s="3"/>
      <c r="ACQ52" s="3"/>
      <c r="ACR52" s="3"/>
      <c r="ACS52" s="3"/>
      <c r="ACT52" s="3"/>
      <c r="ACU52" s="3"/>
      <c r="ACV52" s="3"/>
      <c r="ACW52" s="3"/>
      <c r="ACX52" s="3"/>
      <c r="ACY52" s="3"/>
      <c r="ACZ52" s="3"/>
      <c r="ADA52" s="3"/>
      <c r="ADB52" s="3"/>
      <c r="ADC52" s="3"/>
      <c r="ADD52" s="3"/>
      <c r="ADE52" s="3"/>
      <c r="ADF52" s="3"/>
      <c r="ADG52" s="3"/>
      <c r="ADH52" s="3"/>
      <c r="ADI52" s="3"/>
      <c r="ADJ52" s="3"/>
      <c r="ADK52" s="3"/>
      <c r="ADL52" s="3"/>
      <c r="ADM52" s="3"/>
      <c r="ADN52" s="3"/>
      <c r="ADO52" s="3"/>
      <c r="ADP52" s="3"/>
      <c r="ADQ52" s="3"/>
      <c r="ADR52" s="3"/>
      <c r="ADS52" s="3"/>
      <c r="ADT52" s="3"/>
      <c r="ADU52" s="3"/>
      <c r="ADV52" s="3"/>
      <c r="ADW52" s="3"/>
      <c r="ADX52" s="3"/>
      <c r="ADY52" s="3"/>
      <c r="ADZ52" s="3"/>
      <c r="AEA52" s="3"/>
      <c r="AEB52" s="3"/>
      <c r="AEC52" s="3"/>
      <c r="AED52" s="3"/>
      <c r="AEE52" s="3"/>
      <c r="AEF52" s="3"/>
      <c r="AEG52" s="3"/>
      <c r="AEH52" s="3"/>
      <c r="AEI52" s="3"/>
      <c r="AEJ52" s="3"/>
      <c r="AEK52" s="3"/>
      <c r="AEL52" s="3"/>
      <c r="AEM52" s="3"/>
      <c r="AEN52" s="3"/>
      <c r="AEO52" s="3"/>
      <c r="AEP52" s="3"/>
      <c r="AEQ52" s="3"/>
      <c r="AER52" s="3"/>
      <c r="AES52" s="3"/>
      <c r="AET52" s="3"/>
      <c r="AEU52" s="3"/>
      <c r="AEV52" s="3"/>
      <c r="AEW52" s="3"/>
      <c r="AEX52" s="3"/>
      <c r="AEY52" s="3"/>
      <c r="AEZ52" s="3"/>
      <c r="AFA52" s="3"/>
      <c r="AFB52" s="3"/>
      <c r="AFC52" s="3"/>
      <c r="AFD52" s="3"/>
      <c r="AFE52" s="3"/>
      <c r="AFF52" s="3"/>
      <c r="AFG52" s="3"/>
      <c r="AFH52" s="3"/>
      <c r="AFI52" s="3"/>
      <c r="AFJ52" s="3"/>
      <c r="AFK52" s="3"/>
      <c r="AFL52" s="3"/>
      <c r="AFM52" s="3"/>
      <c r="AFN52" s="3"/>
      <c r="AFO52" s="3"/>
      <c r="AFP52" s="3"/>
      <c r="AFQ52" s="3"/>
      <c r="AFR52" s="3"/>
      <c r="AFS52" s="3"/>
      <c r="AFT52" s="3"/>
      <c r="AFU52" s="3"/>
      <c r="AFV52" s="3"/>
      <c r="AFW52" s="3"/>
      <c r="AFX52" s="3"/>
      <c r="AFY52" s="3"/>
      <c r="AFZ52" s="3"/>
      <c r="AGA52" s="3"/>
      <c r="AGB52" s="3"/>
      <c r="AGC52" s="3"/>
      <c r="AGD52" s="3"/>
      <c r="AGE52" s="3"/>
      <c r="AGF52" s="3"/>
      <c r="AGG52" s="3"/>
      <c r="AGH52" s="3"/>
      <c r="AGI52" s="3"/>
      <c r="AGJ52" s="3"/>
      <c r="AGK52" s="3"/>
      <c r="AGL52" s="3"/>
      <c r="AGM52" s="3"/>
      <c r="AGN52" s="3"/>
      <c r="AGO52" s="3"/>
      <c r="AGP52" s="3"/>
      <c r="AGQ52" s="3"/>
      <c r="AGR52" s="3"/>
      <c r="AGS52" s="3"/>
      <c r="AGT52" s="3"/>
      <c r="AGU52" s="3"/>
      <c r="AGV52" s="3"/>
      <c r="AGW52" s="3"/>
      <c r="AGX52" s="3"/>
      <c r="AGY52" s="3"/>
      <c r="AGZ52" s="3"/>
      <c r="AHA52" s="3"/>
      <c r="AHB52" s="3"/>
      <c r="AHC52" s="3"/>
      <c r="AHD52" s="3"/>
      <c r="AHE52" s="3"/>
      <c r="AHF52" s="3"/>
      <c r="AHG52" s="3"/>
      <c r="AHH52" s="3"/>
      <c r="AHI52" s="3"/>
      <c r="AHJ52" s="3"/>
      <c r="AHK52" s="3"/>
      <c r="AHL52" s="3"/>
      <c r="AHM52" s="3"/>
      <c r="AHN52" s="3"/>
      <c r="AHO52" s="3"/>
      <c r="AHP52" s="3"/>
      <c r="AHQ52" s="3"/>
      <c r="AHR52" s="3"/>
      <c r="AHS52" s="3"/>
      <c r="AHT52" s="3"/>
      <c r="AHU52" s="3"/>
      <c r="AHV52" s="3"/>
      <c r="AHW52" s="3"/>
      <c r="AHX52" s="3"/>
      <c r="AHY52" s="3"/>
      <c r="AHZ52" s="3"/>
      <c r="AIA52" s="3"/>
      <c r="AIB52" s="3"/>
      <c r="AIC52" s="3"/>
      <c r="AID52" s="3"/>
      <c r="AIE52" s="3"/>
      <c r="AIF52" s="3"/>
      <c r="AIG52" s="3"/>
      <c r="AIH52" s="3"/>
      <c r="AII52" s="3"/>
      <c r="AIJ52" s="3"/>
      <c r="AIK52" s="3"/>
      <c r="AIL52" s="3"/>
      <c r="AIM52" s="3"/>
      <c r="AIN52" s="3"/>
      <c r="AIO52" s="3"/>
      <c r="AIP52" s="3"/>
      <c r="AIQ52" s="3"/>
      <c r="AIR52" s="3"/>
      <c r="AIS52" s="3"/>
      <c r="AIT52" s="3"/>
      <c r="AIU52" s="3"/>
      <c r="AIV52" s="3"/>
      <c r="AIW52" s="3"/>
      <c r="AIX52" s="3"/>
      <c r="AIY52" s="3"/>
      <c r="AIZ52" s="3"/>
      <c r="AJA52" s="3"/>
      <c r="AJB52" s="3"/>
      <c r="AJC52" s="3"/>
      <c r="AJD52" s="3"/>
      <c r="AJE52" s="3"/>
      <c r="AJF52" s="3"/>
      <c r="AJG52" s="3"/>
      <c r="AJH52" s="3"/>
      <c r="AJI52" s="3"/>
      <c r="AJJ52" s="3"/>
      <c r="AJK52" s="3"/>
      <c r="AJL52" s="3"/>
      <c r="AJM52" s="3"/>
      <c r="AJN52" s="3"/>
      <c r="AJO52" s="3"/>
      <c r="AJP52" s="3"/>
      <c r="AJQ52" s="3"/>
      <c r="AJR52" s="3"/>
      <c r="AJS52" s="3"/>
      <c r="AJT52" s="3"/>
      <c r="AJU52" s="3"/>
      <c r="AJV52" s="3"/>
      <c r="AJW52" s="3"/>
      <c r="AJX52" s="3"/>
      <c r="AJY52" s="3"/>
      <c r="AJZ52" s="3"/>
      <c r="AKA52" s="3"/>
      <c r="AKB52" s="3"/>
      <c r="AKC52" s="3"/>
      <c r="AKD52" s="3"/>
      <c r="AKE52" s="3"/>
      <c r="AKF52" s="3"/>
      <c r="AKG52" s="3"/>
      <c r="AKH52" s="3"/>
      <c r="AKI52" s="3"/>
      <c r="AKJ52" s="3"/>
      <c r="AKK52" s="3"/>
      <c r="AKL52" s="3"/>
      <c r="AKM52" s="3"/>
      <c r="AKN52" s="3"/>
      <c r="AKO52" s="3"/>
      <c r="AKP52" s="3"/>
      <c r="AKQ52" s="3"/>
      <c r="AKR52" s="3"/>
      <c r="AKS52" s="3"/>
      <c r="AKT52" s="3"/>
      <c r="AKU52" s="3"/>
      <c r="AKV52" s="3"/>
      <c r="AKW52" s="3"/>
      <c r="AKX52" s="3"/>
      <c r="AKY52" s="3"/>
      <c r="AKZ52" s="3"/>
      <c r="ALA52" s="3"/>
      <c r="ALB52" s="3"/>
      <c r="ALC52" s="3"/>
      <c r="ALD52" s="3"/>
      <c r="ALE52" s="3"/>
      <c r="ALF52" s="3"/>
      <c r="ALG52" s="3"/>
      <c r="ALH52" s="3"/>
      <c r="ALI52" s="3"/>
      <c r="ALJ52" s="3"/>
      <c r="ALK52" s="3"/>
      <c r="ALL52" s="3"/>
      <c r="ALM52" s="3"/>
      <c r="ALN52" s="3"/>
      <c r="ALO52" s="3"/>
      <c r="ALP52" s="3"/>
      <c r="ALQ52" s="3"/>
      <c r="ALR52" s="3"/>
      <c r="ALS52" s="3"/>
      <c r="ALT52" s="3"/>
      <c r="ALU52" s="3"/>
      <c r="ALV52" s="3"/>
      <c r="ALW52" s="3"/>
      <c r="ALX52" s="3"/>
      <c r="ALY52" s="3"/>
      <c r="ALZ52" s="3"/>
      <c r="AMA52" s="3"/>
      <c r="AMB52" s="3"/>
      <c r="AMC52" s="3"/>
      <c r="AMD52" s="3"/>
      <c r="AME52" s="3"/>
      <c r="AMF52" s="3"/>
      <c r="AMG52" s="3"/>
      <c r="AMH52" s="3"/>
      <c r="AMI52" s="3"/>
      <c r="AMJ52" s="3"/>
      <c r="AMK52" s="3"/>
    </row>
    <row r="53" spans="1:1025" x14ac:dyDescent="0.25">
      <c r="A53" s="19" t="s">
        <v>331</v>
      </c>
      <c r="B53" s="3">
        <v>80</v>
      </c>
      <c r="C53" s="3" t="s">
        <v>64</v>
      </c>
      <c r="D53" s="3" t="s">
        <v>100</v>
      </c>
      <c r="E53" s="3"/>
      <c r="F53" s="3">
        <v>0</v>
      </c>
      <c r="G53" s="3">
        <v>4294967294</v>
      </c>
      <c r="H53" s="3"/>
      <c r="I53" s="3" t="s">
        <v>101</v>
      </c>
      <c r="J53" s="1" t="s">
        <v>489</v>
      </c>
      <c r="K53" s="22"/>
      <c r="L53" s="1"/>
      <c r="M53" s="1"/>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c r="FZ53" s="3"/>
      <c r="GA53" s="3"/>
      <c r="GB53" s="3"/>
      <c r="GC53" s="3"/>
      <c r="GD53" s="3"/>
      <c r="GE53" s="3"/>
      <c r="GF53" s="3"/>
      <c r="GG53" s="3"/>
      <c r="GH53" s="3"/>
      <c r="GI53" s="3"/>
      <c r="GJ53" s="3"/>
      <c r="GK53" s="3"/>
      <c r="GL53" s="3"/>
      <c r="GM53" s="3"/>
      <c r="GN53" s="3"/>
      <c r="GO53" s="3"/>
      <c r="GP53" s="3"/>
      <c r="GQ53" s="3"/>
      <c r="GR53" s="3"/>
      <c r="GS53" s="3"/>
      <c r="GT53" s="3"/>
      <c r="GU53" s="3"/>
      <c r="GV53" s="3"/>
      <c r="GW53" s="3"/>
      <c r="GX53" s="3"/>
      <c r="GY53" s="3"/>
      <c r="GZ53" s="3"/>
      <c r="HA53" s="3"/>
      <c r="HB53" s="3"/>
      <c r="HC53" s="3"/>
      <c r="HD53" s="3"/>
      <c r="HE53" s="3"/>
      <c r="HF53" s="3"/>
      <c r="HG53" s="3"/>
      <c r="HH53" s="3"/>
      <c r="HI53" s="3"/>
      <c r="HJ53" s="3"/>
      <c r="HK53" s="3"/>
      <c r="HL53" s="3"/>
      <c r="HM53" s="3"/>
      <c r="HN53" s="3"/>
      <c r="HO53" s="3"/>
      <c r="HP53" s="3"/>
      <c r="HQ53" s="3"/>
      <c r="HR53" s="3"/>
      <c r="HS53" s="3"/>
      <c r="HT53" s="3"/>
      <c r="HU53" s="3"/>
      <c r="HV53" s="3"/>
      <c r="HW53" s="3"/>
      <c r="HX53" s="3"/>
      <c r="HY53" s="3"/>
      <c r="HZ53" s="3"/>
      <c r="IA53" s="3"/>
      <c r="IB53" s="3"/>
      <c r="IC53" s="3"/>
      <c r="ID53" s="3"/>
      <c r="IE53" s="3"/>
      <c r="IF53" s="3"/>
      <c r="IG53" s="3"/>
      <c r="IH53" s="3"/>
      <c r="II53" s="3"/>
      <c r="IJ53" s="3"/>
      <c r="IK53" s="3"/>
      <c r="IL53" s="3"/>
      <c r="IM53" s="3"/>
      <c r="IN53" s="3"/>
      <c r="IO53" s="3"/>
      <c r="IP53" s="3"/>
      <c r="IQ53" s="3"/>
      <c r="IR53" s="3"/>
      <c r="IS53" s="3"/>
      <c r="IT53" s="3"/>
      <c r="IU53" s="3"/>
      <c r="IV53" s="3"/>
      <c r="IW53" s="3"/>
      <c r="IX53" s="3"/>
      <c r="IY53" s="3"/>
      <c r="IZ53" s="3"/>
      <c r="JA53" s="3"/>
      <c r="JB53" s="3"/>
      <c r="JC53" s="3"/>
      <c r="JD53" s="3"/>
      <c r="JE53" s="3"/>
      <c r="JF53" s="3"/>
      <c r="JG53" s="3"/>
      <c r="JH53" s="3"/>
      <c r="JI53" s="3"/>
      <c r="JJ53" s="3"/>
      <c r="JK53" s="3"/>
      <c r="JL53" s="3"/>
      <c r="JM53" s="3"/>
      <c r="JN53" s="3"/>
      <c r="JO53" s="3"/>
      <c r="JP53" s="3"/>
      <c r="JQ53" s="3"/>
      <c r="JR53" s="3"/>
      <c r="JS53" s="3"/>
      <c r="JT53" s="3"/>
      <c r="JU53" s="3"/>
      <c r="JV53" s="3"/>
      <c r="JW53" s="3"/>
      <c r="JX53" s="3"/>
      <c r="JY53" s="3"/>
      <c r="JZ53" s="3"/>
      <c r="KA53" s="3"/>
      <c r="KB53" s="3"/>
      <c r="KC53" s="3"/>
      <c r="KD53" s="3"/>
      <c r="KE53" s="3"/>
      <c r="KF53" s="3"/>
      <c r="KG53" s="3"/>
      <c r="KH53" s="3"/>
      <c r="KI53" s="3"/>
      <c r="KJ53" s="3"/>
      <c r="KK53" s="3"/>
      <c r="KL53" s="3"/>
      <c r="KM53" s="3"/>
      <c r="KN53" s="3"/>
      <c r="KO53" s="3"/>
      <c r="KP53" s="3"/>
      <c r="KQ53" s="3"/>
      <c r="KR53" s="3"/>
      <c r="KS53" s="3"/>
      <c r="KT53" s="3"/>
      <c r="KU53" s="3"/>
      <c r="KV53" s="3"/>
      <c r="KW53" s="3"/>
      <c r="KX53" s="3"/>
      <c r="KY53" s="3"/>
      <c r="KZ53" s="3"/>
      <c r="LA53" s="3"/>
      <c r="LB53" s="3"/>
      <c r="LC53" s="3"/>
      <c r="LD53" s="3"/>
      <c r="LE53" s="3"/>
      <c r="LF53" s="3"/>
      <c r="LG53" s="3"/>
      <c r="LH53" s="3"/>
      <c r="LI53" s="3"/>
      <c r="LJ53" s="3"/>
      <c r="LK53" s="3"/>
      <c r="LL53" s="3"/>
      <c r="LM53" s="3"/>
      <c r="LN53" s="3"/>
      <c r="LO53" s="3"/>
      <c r="LP53" s="3"/>
      <c r="LQ53" s="3"/>
      <c r="LR53" s="3"/>
      <c r="LS53" s="3"/>
      <c r="LT53" s="3"/>
      <c r="LU53" s="3"/>
      <c r="LV53" s="3"/>
      <c r="LW53" s="3"/>
      <c r="LX53" s="3"/>
      <c r="LY53" s="3"/>
      <c r="LZ53" s="3"/>
      <c r="MA53" s="3"/>
      <c r="MB53" s="3"/>
      <c r="MC53" s="3"/>
      <c r="MD53" s="3"/>
      <c r="ME53" s="3"/>
      <c r="MF53" s="3"/>
      <c r="MG53" s="3"/>
      <c r="MH53" s="3"/>
      <c r="MI53" s="3"/>
      <c r="MJ53" s="3"/>
      <c r="MK53" s="3"/>
      <c r="ML53" s="3"/>
      <c r="MM53" s="3"/>
      <c r="MN53" s="3"/>
      <c r="MO53" s="3"/>
      <c r="MP53" s="3"/>
      <c r="MQ53" s="3"/>
      <c r="MR53" s="3"/>
      <c r="MS53" s="3"/>
      <c r="MT53" s="3"/>
      <c r="MU53" s="3"/>
      <c r="MV53" s="3"/>
      <c r="MW53" s="3"/>
      <c r="MX53" s="3"/>
      <c r="MY53" s="3"/>
      <c r="MZ53" s="3"/>
      <c r="NA53" s="3"/>
      <c r="NB53" s="3"/>
      <c r="NC53" s="3"/>
      <c r="ND53" s="3"/>
      <c r="NE53" s="3"/>
      <c r="NF53" s="3"/>
      <c r="NG53" s="3"/>
      <c r="NH53" s="3"/>
      <c r="NI53" s="3"/>
      <c r="NJ53" s="3"/>
      <c r="NK53" s="3"/>
      <c r="NL53" s="3"/>
      <c r="NM53" s="3"/>
      <c r="NN53" s="3"/>
      <c r="NO53" s="3"/>
      <c r="NP53" s="3"/>
      <c r="NQ53" s="3"/>
      <c r="NR53" s="3"/>
      <c r="NS53" s="3"/>
      <c r="NT53" s="3"/>
      <c r="NU53" s="3"/>
      <c r="NV53" s="3"/>
      <c r="NW53" s="3"/>
      <c r="NX53" s="3"/>
      <c r="NY53" s="3"/>
      <c r="NZ53" s="3"/>
      <c r="OA53" s="3"/>
      <c r="OB53" s="3"/>
      <c r="OC53" s="3"/>
      <c r="OD53" s="3"/>
      <c r="OE53" s="3"/>
      <c r="OF53" s="3"/>
      <c r="OG53" s="3"/>
      <c r="OH53" s="3"/>
      <c r="OI53" s="3"/>
      <c r="OJ53" s="3"/>
      <c r="OK53" s="3"/>
      <c r="OL53" s="3"/>
      <c r="OM53" s="3"/>
      <c r="ON53" s="3"/>
      <c r="OO53" s="3"/>
      <c r="OP53" s="3"/>
      <c r="OQ53" s="3"/>
      <c r="OR53" s="3"/>
      <c r="OS53" s="3"/>
      <c r="OT53" s="3"/>
      <c r="OU53" s="3"/>
      <c r="OV53" s="3"/>
      <c r="OW53" s="3"/>
      <c r="OX53" s="3"/>
      <c r="OY53" s="3"/>
      <c r="OZ53" s="3"/>
      <c r="PA53" s="3"/>
      <c r="PB53" s="3"/>
      <c r="PC53" s="3"/>
      <c r="PD53" s="3"/>
      <c r="PE53" s="3"/>
      <c r="PF53" s="3"/>
      <c r="PG53" s="3"/>
      <c r="PH53" s="3"/>
      <c r="PI53" s="3"/>
      <c r="PJ53" s="3"/>
      <c r="PK53" s="3"/>
      <c r="PL53" s="3"/>
      <c r="PM53" s="3"/>
      <c r="PN53" s="3"/>
      <c r="PO53" s="3"/>
      <c r="PP53" s="3"/>
      <c r="PQ53" s="3"/>
      <c r="PR53" s="3"/>
      <c r="PS53" s="3"/>
      <c r="PT53" s="3"/>
      <c r="PU53" s="3"/>
      <c r="PV53" s="3"/>
      <c r="PW53" s="3"/>
      <c r="PX53" s="3"/>
      <c r="PY53" s="3"/>
      <c r="PZ53" s="3"/>
      <c r="QA53" s="3"/>
      <c r="QB53" s="3"/>
      <c r="QC53" s="3"/>
      <c r="QD53" s="3"/>
      <c r="QE53" s="3"/>
      <c r="QF53" s="3"/>
      <c r="QG53" s="3"/>
      <c r="QH53" s="3"/>
      <c r="QI53" s="3"/>
      <c r="QJ53" s="3"/>
      <c r="QK53" s="3"/>
      <c r="QL53" s="3"/>
      <c r="QM53" s="3"/>
      <c r="QN53" s="3"/>
      <c r="QO53" s="3"/>
      <c r="QP53" s="3"/>
      <c r="QQ53" s="3"/>
      <c r="QR53" s="3"/>
      <c r="QS53" s="3"/>
      <c r="QT53" s="3"/>
      <c r="QU53" s="3"/>
      <c r="QV53" s="3"/>
      <c r="QW53" s="3"/>
      <c r="QX53" s="3"/>
      <c r="QY53" s="3"/>
      <c r="QZ53" s="3"/>
      <c r="RA53" s="3"/>
      <c r="RB53" s="3"/>
      <c r="RC53" s="3"/>
      <c r="RD53" s="3"/>
      <c r="RE53" s="3"/>
      <c r="RF53" s="3"/>
      <c r="RG53" s="3"/>
      <c r="RH53" s="3"/>
      <c r="RI53" s="3"/>
      <c r="RJ53" s="3"/>
      <c r="RK53" s="3"/>
      <c r="RL53" s="3"/>
      <c r="RM53" s="3"/>
      <c r="RN53" s="3"/>
      <c r="RO53" s="3"/>
      <c r="RP53" s="3"/>
      <c r="RQ53" s="3"/>
      <c r="RR53" s="3"/>
      <c r="RS53" s="3"/>
      <c r="RT53" s="3"/>
      <c r="RU53" s="3"/>
      <c r="RV53" s="3"/>
      <c r="RW53" s="3"/>
      <c r="RX53" s="3"/>
      <c r="RY53" s="3"/>
      <c r="RZ53" s="3"/>
      <c r="SA53" s="3"/>
      <c r="SB53" s="3"/>
      <c r="SC53" s="3"/>
      <c r="SD53" s="3"/>
      <c r="SE53" s="3"/>
      <c r="SF53" s="3"/>
      <c r="SG53" s="3"/>
      <c r="SH53" s="3"/>
      <c r="SI53" s="3"/>
      <c r="SJ53" s="3"/>
      <c r="SK53" s="3"/>
      <c r="SL53" s="3"/>
      <c r="SM53" s="3"/>
      <c r="SN53" s="3"/>
      <c r="SO53" s="3"/>
      <c r="SP53" s="3"/>
      <c r="SQ53" s="3"/>
      <c r="SR53" s="3"/>
      <c r="SS53" s="3"/>
      <c r="ST53" s="3"/>
      <c r="SU53" s="3"/>
      <c r="SV53" s="3"/>
      <c r="SW53" s="3"/>
      <c r="SX53" s="3"/>
      <c r="SY53" s="3"/>
      <c r="SZ53" s="3"/>
      <c r="TA53" s="3"/>
      <c r="TB53" s="3"/>
      <c r="TC53" s="3"/>
      <c r="TD53" s="3"/>
      <c r="TE53" s="3"/>
      <c r="TF53" s="3"/>
      <c r="TG53" s="3"/>
      <c r="TH53" s="3"/>
      <c r="TI53" s="3"/>
      <c r="TJ53" s="3"/>
      <c r="TK53" s="3"/>
      <c r="TL53" s="3"/>
      <c r="TM53" s="3"/>
      <c r="TN53" s="3"/>
      <c r="TO53" s="3"/>
      <c r="TP53" s="3"/>
      <c r="TQ53" s="3"/>
      <c r="TR53" s="3"/>
      <c r="TS53" s="3"/>
      <c r="TT53" s="3"/>
      <c r="TU53" s="3"/>
      <c r="TV53" s="3"/>
      <c r="TW53" s="3"/>
      <c r="TX53" s="3"/>
      <c r="TY53" s="3"/>
      <c r="TZ53" s="3"/>
      <c r="UA53" s="3"/>
      <c r="UB53" s="3"/>
      <c r="UC53" s="3"/>
      <c r="UD53" s="3"/>
      <c r="UE53" s="3"/>
      <c r="UF53" s="3"/>
      <c r="UG53" s="3"/>
      <c r="UH53" s="3"/>
      <c r="UI53" s="3"/>
      <c r="UJ53" s="3"/>
      <c r="UK53" s="3"/>
      <c r="UL53" s="3"/>
      <c r="UM53" s="3"/>
      <c r="UN53" s="3"/>
      <c r="UO53" s="3"/>
      <c r="UP53" s="3"/>
      <c r="UQ53" s="3"/>
      <c r="UR53" s="3"/>
      <c r="US53" s="3"/>
      <c r="UT53" s="3"/>
      <c r="UU53" s="3"/>
      <c r="UV53" s="3"/>
      <c r="UW53" s="3"/>
      <c r="UX53" s="3"/>
      <c r="UY53" s="3"/>
      <c r="UZ53" s="3"/>
      <c r="VA53" s="3"/>
      <c r="VB53" s="3"/>
      <c r="VC53" s="3"/>
      <c r="VD53" s="3"/>
      <c r="VE53" s="3"/>
      <c r="VF53" s="3"/>
      <c r="VG53" s="3"/>
      <c r="VH53" s="3"/>
      <c r="VI53" s="3"/>
      <c r="VJ53" s="3"/>
      <c r="VK53" s="3"/>
      <c r="VL53" s="3"/>
      <c r="VM53" s="3"/>
      <c r="VN53" s="3"/>
      <c r="VO53" s="3"/>
      <c r="VP53" s="3"/>
      <c r="VQ53" s="3"/>
      <c r="VR53" s="3"/>
      <c r="VS53" s="3"/>
      <c r="VT53" s="3"/>
      <c r="VU53" s="3"/>
      <c r="VV53" s="3"/>
      <c r="VW53" s="3"/>
      <c r="VX53" s="3"/>
      <c r="VY53" s="3"/>
      <c r="VZ53" s="3"/>
      <c r="WA53" s="3"/>
      <c r="WB53" s="3"/>
      <c r="WC53" s="3"/>
      <c r="WD53" s="3"/>
      <c r="WE53" s="3"/>
      <c r="WF53" s="3"/>
      <c r="WG53" s="3"/>
      <c r="WH53" s="3"/>
      <c r="WI53" s="3"/>
      <c r="WJ53" s="3"/>
      <c r="WK53" s="3"/>
      <c r="WL53" s="3"/>
      <c r="WM53" s="3"/>
      <c r="WN53" s="3"/>
      <c r="WO53" s="3"/>
      <c r="WP53" s="3"/>
      <c r="WQ53" s="3"/>
      <c r="WR53" s="3"/>
      <c r="WS53" s="3"/>
      <c r="WT53" s="3"/>
      <c r="WU53" s="3"/>
      <c r="WV53" s="3"/>
      <c r="WW53" s="3"/>
      <c r="WX53" s="3"/>
      <c r="WY53" s="3"/>
      <c r="WZ53" s="3"/>
      <c r="XA53" s="3"/>
      <c r="XB53" s="3"/>
      <c r="XC53" s="3"/>
      <c r="XD53" s="3"/>
      <c r="XE53" s="3"/>
      <c r="XF53" s="3"/>
      <c r="XG53" s="3"/>
      <c r="XH53" s="3"/>
      <c r="XI53" s="3"/>
      <c r="XJ53" s="3"/>
      <c r="XK53" s="3"/>
      <c r="XL53" s="3"/>
      <c r="XM53" s="3"/>
      <c r="XN53" s="3"/>
      <c r="XO53" s="3"/>
      <c r="XP53" s="3"/>
      <c r="XQ53" s="3"/>
      <c r="XR53" s="3"/>
      <c r="XS53" s="3"/>
      <c r="XT53" s="3"/>
      <c r="XU53" s="3"/>
      <c r="XV53" s="3"/>
      <c r="XW53" s="3"/>
      <c r="XX53" s="3"/>
      <c r="XY53" s="3"/>
      <c r="XZ53" s="3"/>
      <c r="YA53" s="3"/>
      <c r="YB53" s="3"/>
      <c r="YC53" s="3"/>
      <c r="YD53" s="3"/>
      <c r="YE53" s="3"/>
      <c r="YF53" s="3"/>
      <c r="YG53" s="3"/>
      <c r="YH53" s="3"/>
      <c r="YI53" s="3"/>
      <c r="YJ53" s="3"/>
      <c r="YK53" s="3"/>
      <c r="YL53" s="3"/>
      <c r="YM53" s="3"/>
      <c r="YN53" s="3"/>
      <c r="YO53" s="3"/>
      <c r="YP53" s="3"/>
      <c r="YQ53" s="3"/>
      <c r="YR53" s="3"/>
      <c r="YS53" s="3"/>
      <c r="YT53" s="3"/>
      <c r="YU53" s="3"/>
      <c r="YV53" s="3"/>
      <c r="YW53" s="3"/>
      <c r="YX53" s="3"/>
      <c r="YY53" s="3"/>
      <c r="YZ53" s="3"/>
      <c r="ZA53" s="3"/>
      <c r="ZB53" s="3"/>
      <c r="ZC53" s="3"/>
      <c r="ZD53" s="3"/>
      <c r="ZE53" s="3"/>
      <c r="ZF53" s="3"/>
      <c r="ZG53" s="3"/>
      <c r="ZH53" s="3"/>
      <c r="ZI53" s="3"/>
      <c r="ZJ53" s="3"/>
      <c r="ZK53" s="3"/>
      <c r="ZL53" s="3"/>
      <c r="ZM53" s="3"/>
      <c r="ZN53" s="3"/>
      <c r="ZO53" s="3"/>
      <c r="ZP53" s="3"/>
      <c r="ZQ53" s="3"/>
      <c r="ZR53" s="3"/>
      <c r="ZS53" s="3"/>
      <c r="ZT53" s="3"/>
      <c r="ZU53" s="3"/>
      <c r="ZV53" s="3"/>
      <c r="ZW53" s="3"/>
      <c r="ZX53" s="3"/>
      <c r="ZY53" s="3"/>
      <c r="ZZ53" s="3"/>
      <c r="AAA53" s="3"/>
      <c r="AAB53" s="3"/>
      <c r="AAC53" s="3"/>
      <c r="AAD53" s="3"/>
      <c r="AAE53" s="3"/>
      <c r="AAF53" s="3"/>
      <c r="AAG53" s="3"/>
      <c r="AAH53" s="3"/>
      <c r="AAI53" s="3"/>
      <c r="AAJ53" s="3"/>
      <c r="AAK53" s="3"/>
      <c r="AAL53" s="3"/>
      <c r="AAM53" s="3"/>
      <c r="AAN53" s="3"/>
      <c r="AAO53" s="3"/>
      <c r="AAP53" s="3"/>
      <c r="AAQ53" s="3"/>
      <c r="AAR53" s="3"/>
      <c r="AAS53" s="3"/>
      <c r="AAT53" s="3"/>
      <c r="AAU53" s="3"/>
      <c r="AAV53" s="3"/>
      <c r="AAW53" s="3"/>
      <c r="AAX53" s="3"/>
      <c r="AAY53" s="3"/>
      <c r="AAZ53" s="3"/>
      <c r="ABA53" s="3"/>
      <c r="ABB53" s="3"/>
      <c r="ABC53" s="3"/>
      <c r="ABD53" s="3"/>
      <c r="ABE53" s="3"/>
      <c r="ABF53" s="3"/>
      <c r="ABG53" s="3"/>
      <c r="ABH53" s="3"/>
      <c r="ABI53" s="3"/>
      <c r="ABJ53" s="3"/>
      <c r="ABK53" s="3"/>
      <c r="ABL53" s="3"/>
      <c r="ABM53" s="3"/>
      <c r="ABN53" s="3"/>
      <c r="ABO53" s="3"/>
      <c r="ABP53" s="3"/>
      <c r="ABQ53" s="3"/>
      <c r="ABR53" s="3"/>
      <c r="ABS53" s="3"/>
      <c r="ABT53" s="3"/>
      <c r="ABU53" s="3"/>
      <c r="ABV53" s="3"/>
      <c r="ABW53" s="3"/>
      <c r="ABX53" s="3"/>
      <c r="ABY53" s="3"/>
      <c r="ABZ53" s="3"/>
      <c r="ACA53" s="3"/>
      <c r="ACB53" s="3"/>
      <c r="ACC53" s="3"/>
      <c r="ACD53" s="3"/>
      <c r="ACE53" s="3"/>
      <c r="ACF53" s="3"/>
      <c r="ACG53" s="3"/>
      <c r="ACH53" s="3"/>
      <c r="ACI53" s="3"/>
      <c r="ACJ53" s="3"/>
      <c r="ACK53" s="3"/>
      <c r="ACL53" s="3"/>
      <c r="ACM53" s="3"/>
      <c r="ACN53" s="3"/>
      <c r="ACO53" s="3"/>
      <c r="ACP53" s="3"/>
      <c r="ACQ53" s="3"/>
      <c r="ACR53" s="3"/>
      <c r="ACS53" s="3"/>
      <c r="ACT53" s="3"/>
      <c r="ACU53" s="3"/>
      <c r="ACV53" s="3"/>
      <c r="ACW53" s="3"/>
      <c r="ACX53" s="3"/>
      <c r="ACY53" s="3"/>
      <c r="ACZ53" s="3"/>
      <c r="ADA53" s="3"/>
      <c r="ADB53" s="3"/>
      <c r="ADC53" s="3"/>
      <c r="ADD53" s="3"/>
      <c r="ADE53" s="3"/>
      <c r="ADF53" s="3"/>
      <c r="ADG53" s="3"/>
      <c r="ADH53" s="3"/>
      <c r="ADI53" s="3"/>
      <c r="ADJ53" s="3"/>
      <c r="ADK53" s="3"/>
      <c r="ADL53" s="3"/>
      <c r="ADM53" s="3"/>
      <c r="ADN53" s="3"/>
      <c r="ADO53" s="3"/>
      <c r="ADP53" s="3"/>
      <c r="ADQ53" s="3"/>
      <c r="ADR53" s="3"/>
      <c r="ADS53" s="3"/>
      <c r="ADT53" s="3"/>
      <c r="ADU53" s="3"/>
      <c r="ADV53" s="3"/>
      <c r="ADW53" s="3"/>
      <c r="ADX53" s="3"/>
      <c r="ADY53" s="3"/>
      <c r="ADZ53" s="3"/>
      <c r="AEA53" s="3"/>
      <c r="AEB53" s="3"/>
      <c r="AEC53" s="3"/>
      <c r="AED53" s="3"/>
      <c r="AEE53" s="3"/>
      <c r="AEF53" s="3"/>
      <c r="AEG53" s="3"/>
      <c r="AEH53" s="3"/>
      <c r="AEI53" s="3"/>
      <c r="AEJ53" s="3"/>
      <c r="AEK53" s="3"/>
      <c r="AEL53" s="3"/>
      <c r="AEM53" s="3"/>
      <c r="AEN53" s="3"/>
      <c r="AEO53" s="3"/>
      <c r="AEP53" s="3"/>
      <c r="AEQ53" s="3"/>
      <c r="AER53" s="3"/>
      <c r="AES53" s="3"/>
      <c r="AET53" s="3"/>
      <c r="AEU53" s="3"/>
      <c r="AEV53" s="3"/>
      <c r="AEW53" s="3"/>
      <c r="AEX53" s="3"/>
      <c r="AEY53" s="3"/>
      <c r="AEZ53" s="3"/>
      <c r="AFA53" s="3"/>
      <c r="AFB53" s="3"/>
      <c r="AFC53" s="3"/>
      <c r="AFD53" s="3"/>
      <c r="AFE53" s="3"/>
      <c r="AFF53" s="3"/>
      <c r="AFG53" s="3"/>
      <c r="AFH53" s="3"/>
      <c r="AFI53" s="3"/>
      <c r="AFJ53" s="3"/>
      <c r="AFK53" s="3"/>
      <c r="AFL53" s="3"/>
      <c r="AFM53" s="3"/>
      <c r="AFN53" s="3"/>
      <c r="AFO53" s="3"/>
      <c r="AFP53" s="3"/>
      <c r="AFQ53" s="3"/>
      <c r="AFR53" s="3"/>
      <c r="AFS53" s="3"/>
      <c r="AFT53" s="3"/>
      <c r="AFU53" s="3"/>
      <c r="AFV53" s="3"/>
      <c r="AFW53" s="3"/>
      <c r="AFX53" s="3"/>
      <c r="AFY53" s="3"/>
      <c r="AFZ53" s="3"/>
      <c r="AGA53" s="3"/>
      <c r="AGB53" s="3"/>
      <c r="AGC53" s="3"/>
      <c r="AGD53" s="3"/>
      <c r="AGE53" s="3"/>
      <c r="AGF53" s="3"/>
      <c r="AGG53" s="3"/>
      <c r="AGH53" s="3"/>
      <c r="AGI53" s="3"/>
      <c r="AGJ53" s="3"/>
      <c r="AGK53" s="3"/>
      <c r="AGL53" s="3"/>
      <c r="AGM53" s="3"/>
      <c r="AGN53" s="3"/>
      <c r="AGO53" s="3"/>
      <c r="AGP53" s="3"/>
      <c r="AGQ53" s="3"/>
      <c r="AGR53" s="3"/>
      <c r="AGS53" s="3"/>
      <c r="AGT53" s="3"/>
      <c r="AGU53" s="3"/>
      <c r="AGV53" s="3"/>
      <c r="AGW53" s="3"/>
      <c r="AGX53" s="3"/>
      <c r="AGY53" s="3"/>
      <c r="AGZ53" s="3"/>
      <c r="AHA53" s="3"/>
      <c r="AHB53" s="3"/>
      <c r="AHC53" s="3"/>
      <c r="AHD53" s="3"/>
      <c r="AHE53" s="3"/>
      <c r="AHF53" s="3"/>
      <c r="AHG53" s="3"/>
      <c r="AHH53" s="3"/>
      <c r="AHI53" s="3"/>
      <c r="AHJ53" s="3"/>
      <c r="AHK53" s="3"/>
      <c r="AHL53" s="3"/>
      <c r="AHM53" s="3"/>
      <c r="AHN53" s="3"/>
      <c r="AHO53" s="3"/>
      <c r="AHP53" s="3"/>
      <c r="AHQ53" s="3"/>
      <c r="AHR53" s="3"/>
      <c r="AHS53" s="3"/>
      <c r="AHT53" s="3"/>
      <c r="AHU53" s="3"/>
      <c r="AHV53" s="3"/>
      <c r="AHW53" s="3"/>
      <c r="AHX53" s="3"/>
      <c r="AHY53" s="3"/>
      <c r="AHZ53" s="3"/>
      <c r="AIA53" s="3"/>
      <c r="AIB53" s="3"/>
      <c r="AIC53" s="3"/>
      <c r="AID53" s="3"/>
      <c r="AIE53" s="3"/>
      <c r="AIF53" s="3"/>
      <c r="AIG53" s="3"/>
      <c r="AIH53" s="3"/>
      <c r="AII53" s="3"/>
      <c r="AIJ53" s="3"/>
      <c r="AIK53" s="3"/>
      <c r="AIL53" s="3"/>
      <c r="AIM53" s="3"/>
      <c r="AIN53" s="3"/>
      <c r="AIO53" s="3"/>
      <c r="AIP53" s="3"/>
      <c r="AIQ53" s="3"/>
      <c r="AIR53" s="3"/>
      <c r="AIS53" s="3"/>
      <c r="AIT53" s="3"/>
      <c r="AIU53" s="3"/>
      <c r="AIV53" s="3"/>
      <c r="AIW53" s="3"/>
      <c r="AIX53" s="3"/>
      <c r="AIY53" s="3"/>
      <c r="AIZ53" s="3"/>
      <c r="AJA53" s="3"/>
      <c r="AJB53" s="3"/>
      <c r="AJC53" s="3"/>
      <c r="AJD53" s="3"/>
      <c r="AJE53" s="3"/>
      <c r="AJF53" s="3"/>
      <c r="AJG53" s="3"/>
      <c r="AJH53" s="3"/>
      <c r="AJI53" s="3"/>
      <c r="AJJ53" s="3"/>
      <c r="AJK53" s="3"/>
      <c r="AJL53" s="3"/>
      <c r="AJM53" s="3"/>
      <c r="AJN53" s="3"/>
      <c r="AJO53" s="3"/>
      <c r="AJP53" s="3"/>
      <c r="AJQ53" s="3"/>
      <c r="AJR53" s="3"/>
      <c r="AJS53" s="3"/>
      <c r="AJT53" s="3"/>
      <c r="AJU53" s="3"/>
      <c r="AJV53" s="3"/>
      <c r="AJW53" s="3"/>
      <c r="AJX53" s="3"/>
      <c r="AJY53" s="3"/>
      <c r="AJZ53" s="3"/>
      <c r="AKA53" s="3"/>
      <c r="AKB53" s="3"/>
      <c r="AKC53" s="3"/>
      <c r="AKD53" s="3"/>
      <c r="AKE53" s="3"/>
      <c r="AKF53" s="3"/>
      <c r="AKG53" s="3"/>
      <c r="AKH53" s="3"/>
      <c r="AKI53" s="3"/>
      <c r="AKJ53" s="3"/>
      <c r="AKK53" s="3"/>
      <c r="AKL53" s="3"/>
      <c r="AKM53" s="3"/>
      <c r="AKN53" s="3"/>
      <c r="AKO53" s="3"/>
      <c r="AKP53" s="3"/>
      <c r="AKQ53" s="3"/>
      <c r="AKR53" s="3"/>
      <c r="AKS53" s="3"/>
      <c r="AKT53" s="3"/>
      <c r="AKU53" s="3"/>
      <c r="AKV53" s="3"/>
      <c r="AKW53" s="3"/>
      <c r="AKX53" s="3"/>
      <c r="AKY53" s="3"/>
      <c r="AKZ53" s="3"/>
      <c r="ALA53" s="3"/>
      <c r="ALB53" s="3"/>
      <c r="ALC53" s="3"/>
      <c r="ALD53" s="3"/>
      <c r="ALE53" s="3"/>
      <c r="ALF53" s="3"/>
      <c r="ALG53" s="3"/>
      <c r="ALH53" s="3"/>
      <c r="ALI53" s="3"/>
      <c r="ALJ53" s="3"/>
      <c r="ALK53" s="3"/>
      <c r="ALL53" s="3"/>
      <c r="ALM53" s="3"/>
      <c r="ALN53" s="3"/>
      <c r="ALO53" s="3"/>
      <c r="ALP53" s="3"/>
      <c r="ALQ53" s="3"/>
      <c r="ALR53" s="3"/>
      <c r="ALS53" s="3"/>
      <c r="ALT53" s="3"/>
      <c r="ALU53" s="3"/>
      <c r="ALV53" s="3"/>
      <c r="ALW53" s="3"/>
      <c r="ALX53" s="3"/>
      <c r="ALY53" s="3"/>
      <c r="ALZ53" s="3"/>
      <c r="AMA53" s="3"/>
      <c r="AMB53" s="3"/>
      <c r="AMC53" s="3"/>
      <c r="AMD53" s="3"/>
      <c r="AME53" s="3"/>
      <c r="AMF53" s="3"/>
      <c r="AMG53" s="3"/>
      <c r="AMH53" s="3"/>
      <c r="AMI53" s="3"/>
      <c r="AMJ53" s="3"/>
      <c r="AMK53" s="3"/>
    </row>
    <row r="54" spans="1:1025" x14ac:dyDescent="0.25">
      <c r="A54" s="19" t="s">
        <v>332</v>
      </c>
      <c r="B54" s="3">
        <v>80</v>
      </c>
      <c r="C54" s="3" t="s">
        <v>66</v>
      </c>
      <c r="D54" s="3" t="s">
        <v>100</v>
      </c>
      <c r="E54" s="3"/>
      <c r="F54" s="3">
        <v>0</v>
      </c>
      <c r="G54" s="3">
        <v>4294967294</v>
      </c>
      <c r="H54" s="3"/>
      <c r="I54" s="3" t="s">
        <v>101</v>
      </c>
      <c r="K54" s="22"/>
      <c r="L54" s="1"/>
      <c r="M54" s="1"/>
    </row>
    <row r="55" spans="1:1025" x14ac:dyDescent="0.25">
      <c r="A55" s="19" t="s">
        <v>333</v>
      </c>
      <c r="B55" s="3">
        <v>80</v>
      </c>
      <c r="C55" s="3">
        <v>10</v>
      </c>
      <c r="D55" s="3" t="s">
        <v>100</v>
      </c>
      <c r="E55" s="3"/>
      <c r="F55" s="3">
        <v>0</v>
      </c>
      <c r="G55" s="3">
        <v>4294967294</v>
      </c>
      <c r="H55" s="3"/>
      <c r="I55" s="3" t="s">
        <v>101</v>
      </c>
      <c r="K55" s="22"/>
    </row>
    <row r="56" spans="1:1025" x14ac:dyDescent="0.25">
      <c r="A56" s="19" t="s">
        <v>335</v>
      </c>
      <c r="B56" s="3">
        <v>80</v>
      </c>
      <c r="C56" s="3">
        <v>11</v>
      </c>
      <c r="D56" s="3" t="s">
        <v>148</v>
      </c>
      <c r="E56" s="3"/>
      <c r="F56" s="3">
        <v>-800</v>
      </c>
      <c r="G56" s="3">
        <v>800</v>
      </c>
      <c r="H56" s="3" t="s">
        <v>320</v>
      </c>
      <c r="I56" s="3" t="s">
        <v>94</v>
      </c>
      <c r="K56" s="3"/>
      <c r="L56" s="1"/>
      <c r="M56" s="1"/>
      <c r="N56" s="1"/>
      <c r="O56" s="1"/>
      <c r="P56" s="1"/>
      <c r="Q56" s="1"/>
      <c r="R56" s="1"/>
      <c r="S56" s="1"/>
    </row>
    <row r="57" spans="1:1025" x14ac:dyDescent="0.25">
      <c r="A57" s="19" t="s">
        <v>336</v>
      </c>
      <c r="B57" s="3">
        <v>80</v>
      </c>
      <c r="C57" s="3">
        <v>12</v>
      </c>
      <c r="D57" s="3" t="s">
        <v>148</v>
      </c>
      <c r="E57" s="3"/>
      <c r="F57" s="3">
        <v>-800</v>
      </c>
      <c r="G57" s="3">
        <v>800</v>
      </c>
      <c r="H57" s="3" t="s">
        <v>320</v>
      </c>
      <c r="I57" s="3" t="s">
        <v>94</v>
      </c>
      <c r="K57" s="3"/>
      <c r="L57" s="1"/>
      <c r="M57" s="1"/>
      <c r="N57" s="1"/>
      <c r="O57" s="1"/>
      <c r="P57" s="1"/>
      <c r="Q57" s="1"/>
      <c r="R57" s="1"/>
      <c r="S57" s="1"/>
    </row>
    <row r="58" spans="1:1025" x14ac:dyDescent="0.25">
      <c r="A58" s="19" t="s">
        <v>337</v>
      </c>
      <c r="B58" s="3">
        <v>80</v>
      </c>
      <c r="C58" s="3">
        <v>13</v>
      </c>
      <c r="D58" s="3" t="s">
        <v>148</v>
      </c>
      <c r="E58" s="3"/>
      <c r="F58" s="3">
        <v>-800</v>
      </c>
      <c r="G58" s="3">
        <v>800</v>
      </c>
      <c r="H58" s="3" t="s">
        <v>320</v>
      </c>
      <c r="I58" s="3" t="s">
        <v>94</v>
      </c>
      <c r="K58" s="3"/>
      <c r="L58" s="1"/>
      <c r="M58" s="1"/>
      <c r="N58" s="1"/>
      <c r="O58" s="1"/>
      <c r="P58" s="1"/>
      <c r="Q58" s="1"/>
      <c r="R58" s="1"/>
      <c r="S58" s="1"/>
    </row>
    <row r="59" spans="1:1025" x14ac:dyDescent="0.25">
      <c r="A59" s="19" t="s">
        <v>338</v>
      </c>
      <c r="B59" s="3">
        <v>80</v>
      </c>
      <c r="C59" s="3">
        <v>14</v>
      </c>
      <c r="D59" s="3" t="s">
        <v>148</v>
      </c>
      <c r="E59" s="3"/>
      <c r="F59" s="3">
        <v>-800</v>
      </c>
      <c r="G59" s="3">
        <v>800</v>
      </c>
      <c r="H59" s="3" t="s">
        <v>320</v>
      </c>
      <c r="I59" s="3" t="s">
        <v>94</v>
      </c>
      <c r="K59" s="3"/>
      <c r="L59" s="1"/>
      <c r="M59" s="1"/>
      <c r="N59" s="1"/>
      <c r="O59" s="1"/>
      <c r="P59" s="1"/>
      <c r="Q59" s="1"/>
      <c r="R59" s="1"/>
      <c r="S59" s="1"/>
    </row>
    <row r="60" spans="1:1025" x14ac:dyDescent="0.25">
      <c r="A60" s="19" t="s">
        <v>339</v>
      </c>
      <c r="B60" s="3">
        <v>80</v>
      </c>
      <c r="C60" s="3">
        <v>15</v>
      </c>
      <c r="D60" s="3" t="s">
        <v>148</v>
      </c>
      <c r="E60" s="3"/>
      <c r="F60" s="3">
        <v>-800</v>
      </c>
      <c r="G60" s="3">
        <v>800</v>
      </c>
      <c r="H60" s="3" t="s">
        <v>320</v>
      </c>
      <c r="I60" s="3" t="s">
        <v>94</v>
      </c>
      <c r="K60" s="3"/>
      <c r="L60" s="1"/>
      <c r="M60" s="1"/>
      <c r="N60" s="1"/>
      <c r="O60" s="1"/>
      <c r="P60" s="1"/>
      <c r="Q60" s="1"/>
      <c r="R60" s="1"/>
      <c r="S60" s="1"/>
    </row>
    <row r="61" spans="1:1025" x14ac:dyDescent="0.25">
      <c r="A61" s="19" t="s">
        <v>340</v>
      </c>
      <c r="B61" s="3">
        <v>80</v>
      </c>
      <c r="C61" s="3">
        <v>16</v>
      </c>
      <c r="D61" s="3" t="s">
        <v>148</v>
      </c>
      <c r="E61" s="3"/>
      <c r="F61" s="3">
        <v>-800</v>
      </c>
      <c r="G61" s="3">
        <v>800</v>
      </c>
      <c r="H61" s="3" t="s">
        <v>320</v>
      </c>
      <c r="I61" s="3" t="s">
        <v>94</v>
      </c>
      <c r="K61" s="3"/>
      <c r="L61" s="1"/>
      <c r="M61" s="1"/>
      <c r="N61" s="1"/>
      <c r="O61" s="1"/>
      <c r="P61" s="1"/>
      <c r="Q61" s="1"/>
      <c r="R61" s="1"/>
      <c r="S61" s="1"/>
    </row>
    <row r="62" spans="1:1025" x14ac:dyDescent="0.25">
      <c r="A62" s="19" t="s">
        <v>341</v>
      </c>
      <c r="B62" s="3">
        <v>80</v>
      </c>
      <c r="C62" s="3">
        <v>17</v>
      </c>
      <c r="D62" s="3" t="s">
        <v>148</v>
      </c>
      <c r="E62" s="3"/>
      <c r="F62" s="3">
        <v>-800</v>
      </c>
      <c r="G62" s="3">
        <v>800</v>
      </c>
      <c r="H62" s="3" t="s">
        <v>320</v>
      </c>
      <c r="I62" s="3" t="s">
        <v>94</v>
      </c>
      <c r="K62" s="3"/>
      <c r="L62" s="1"/>
      <c r="M62" s="1"/>
      <c r="N62" s="1"/>
      <c r="O62" s="1"/>
      <c r="P62" s="1"/>
      <c r="Q62" s="1"/>
      <c r="R62" s="1"/>
      <c r="S62" s="1"/>
    </row>
    <row r="63" spans="1:1025" x14ac:dyDescent="0.25">
      <c r="A63" s="19" t="s">
        <v>342</v>
      </c>
      <c r="B63" s="3">
        <v>80</v>
      </c>
      <c r="C63" s="3">
        <v>18</v>
      </c>
      <c r="D63" s="3" t="s">
        <v>148</v>
      </c>
      <c r="E63" s="3"/>
      <c r="F63" s="3">
        <v>-800</v>
      </c>
      <c r="G63" s="3">
        <v>800</v>
      </c>
      <c r="H63" s="3" t="s">
        <v>320</v>
      </c>
      <c r="I63" s="3" t="s">
        <v>94</v>
      </c>
      <c r="K63" s="3"/>
      <c r="L63" s="1"/>
      <c r="M63" s="1"/>
      <c r="N63" s="1"/>
      <c r="O63" s="1"/>
      <c r="P63" s="1"/>
      <c r="Q63" s="1"/>
      <c r="R63" s="1"/>
      <c r="S63" s="1"/>
    </row>
    <row r="64" spans="1:1025" ht="45" x14ac:dyDescent="0.25">
      <c r="A64" s="19" t="s">
        <v>343</v>
      </c>
      <c r="B64" s="3">
        <v>80</v>
      </c>
      <c r="C64" s="3">
        <v>19</v>
      </c>
      <c r="D64" s="3" t="s">
        <v>138</v>
      </c>
      <c r="E64" s="3"/>
      <c r="F64" s="3">
        <v>0</v>
      </c>
      <c r="G64" s="3">
        <v>7</v>
      </c>
      <c r="H64" s="3"/>
      <c r="I64" s="3" t="s">
        <v>101</v>
      </c>
      <c r="K64" s="10" t="s">
        <v>344</v>
      </c>
    </row>
    <row r="65" spans="1:20" ht="71.25" x14ac:dyDescent="0.25">
      <c r="A65" s="84" t="s">
        <v>686</v>
      </c>
      <c r="B65" s="3">
        <v>80</v>
      </c>
      <c r="C65" s="3" t="s">
        <v>345</v>
      </c>
      <c r="D65" s="3" t="s">
        <v>144</v>
      </c>
      <c r="E65" s="3"/>
      <c r="F65" s="3">
        <v>0</v>
      </c>
      <c r="G65" s="3">
        <v>3</v>
      </c>
      <c r="H65" s="3"/>
      <c r="I65" s="3" t="s">
        <v>101</v>
      </c>
      <c r="J65" s="3"/>
      <c r="K65" s="10" t="s">
        <v>685</v>
      </c>
      <c r="L65" s="1"/>
      <c r="M65" s="1" t="s">
        <v>146</v>
      </c>
      <c r="N65" s="1"/>
      <c r="O65" s="1"/>
      <c r="P65" s="1"/>
      <c r="Q65" s="1"/>
      <c r="R65" s="1"/>
      <c r="S65" s="1"/>
      <c r="T65" s="1"/>
    </row>
    <row r="66" spans="1:20" x14ac:dyDescent="0.25">
      <c r="A66" s="19" t="s">
        <v>689</v>
      </c>
      <c r="B66" s="3">
        <v>80</v>
      </c>
      <c r="C66" s="3" t="s">
        <v>498</v>
      </c>
      <c r="D66" s="3" t="s">
        <v>100</v>
      </c>
      <c r="F66" s="3" t="s">
        <v>690</v>
      </c>
      <c r="G66" t="s">
        <v>696</v>
      </c>
      <c r="H66" s="3" t="s">
        <v>320</v>
      </c>
      <c r="I66" s="3" t="s">
        <v>101</v>
      </c>
    </row>
    <row r="67" spans="1:20" x14ac:dyDescent="0.25">
      <c r="A67" s="19" t="s">
        <v>691</v>
      </c>
      <c r="B67" s="3">
        <v>80</v>
      </c>
      <c r="C67" s="3" t="s">
        <v>499</v>
      </c>
      <c r="D67" s="3" t="s">
        <v>100</v>
      </c>
      <c r="F67" s="3" t="s">
        <v>693</v>
      </c>
      <c r="G67" t="s">
        <v>697</v>
      </c>
      <c r="H67" s="3" t="s">
        <v>320</v>
      </c>
      <c r="I67" s="3" t="s">
        <v>101</v>
      </c>
    </row>
    <row r="68" spans="1:20" x14ac:dyDescent="0.25">
      <c r="A68" s="19" t="s">
        <v>694</v>
      </c>
      <c r="B68" s="3">
        <v>80</v>
      </c>
      <c r="C68" s="3" t="s">
        <v>500</v>
      </c>
      <c r="D68" s="3" t="s">
        <v>100</v>
      </c>
      <c r="F68" s="3" t="s">
        <v>695</v>
      </c>
      <c r="G68" t="s">
        <v>690</v>
      </c>
      <c r="H68" s="3" t="s">
        <v>320</v>
      </c>
      <c r="I68" s="3" t="s">
        <v>101</v>
      </c>
    </row>
    <row r="69" spans="1:20" x14ac:dyDescent="0.25">
      <c r="C69" s="3"/>
    </row>
    <row r="70" spans="1:20" x14ac:dyDescent="0.25">
      <c r="C70" s="3"/>
    </row>
    <row r="71" spans="1:20" x14ac:dyDescent="0.25">
      <c r="C71" s="3"/>
    </row>
    <row r="72" spans="1:20" x14ac:dyDescent="0.25">
      <c r="C72" s="3"/>
    </row>
    <row r="73" spans="1:20" x14ac:dyDescent="0.25">
      <c r="C73" s="3"/>
    </row>
    <row r="74" spans="1:20" ht="71.25" x14ac:dyDescent="0.25">
      <c r="A74" s="54" t="s">
        <v>143</v>
      </c>
      <c r="B74" s="3">
        <v>80</v>
      </c>
      <c r="C74" s="3" t="s">
        <v>692</v>
      </c>
      <c r="D74" s="3" t="s">
        <v>144</v>
      </c>
      <c r="E74" s="3"/>
      <c r="F74" s="3">
        <v>0</v>
      </c>
      <c r="G74" s="3">
        <v>4</v>
      </c>
      <c r="H74" s="3"/>
      <c r="I74" s="3" t="s">
        <v>101</v>
      </c>
      <c r="J74" s="3"/>
      <c r="K74" s="10" t="s">
        <v>145</v>
      </c>
      <c r="L74" s="1"/>
      <c r="M74" s="1" t="s">
        <v>146</v>
      </c>
      <c r="N74" s="1"/>
      <c r="O74" s="1"/>
      <c r="P74" s="1"/>
      <c r="Q74" s="1"/>
      <c r="R74" s="1"/>
      <c r="S74" s="1"/>
      <c r="T74" s="1"/>
    </row>
    <row r="76" spans="1:20" x14ac:dyDescent="0.25">
      <c r="A76" s="48" t="s">
        <v>324</v>
      </c>
    </row>
    <row r="77" spans="1:20" x14ac:dyDescent="0.25">
      <c r="A77" s="48" t="s">
        <v>325</v>
      </c>
    </row>
  </sheetData>
  <mergeCells count="6">
    <mergeCell ref="A1:J1"/>
    <mergeCell ref="B3:C3"/>
    <mergeCell ref="K38:T38"/>
    <mergeCell ref="K4:T4"/>
    <mergeCell ref="A4:J4"/>
    <mergeCell ref="A38:J38"/>
  </mergeCell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86"/>
  <sheetViews>
    <sheetView zoomScaleNormal="100" workbookViewId="0">
      <pane xSplit="1" ySplit="4" topLeftCell="B5" activePane="bottomRight" state="frozen"/>
      <selection pane="topRight" activeCell="B1" sqref="B1"/>
      <selection pane="bottomLeft" activeCell="A3" sqref="A3"/>
      <selection pane="bottomRight" activeCell="A2" sqref="A2"/>
    </sheetView>
  </sheetViews>
  <sheetFormatPr defaultColWidth="8.5703125" defaultRowHeight="15" x14ac:dyDescent="0.25"/>
  <cols>
    <col min="1" max="1" width="50.7109375" style="50" customWidth="1"/>
    <col min="2" max="4" width="12.7109375" style="50" customWidth="1"/>
    <col min="5" max="7" width="14.7109375" style="50" customWidth="1"/>
    <col min="8" max="8" width="18.7109375" style="50" customWidth="1"/>
    <col min="9" max="9" width="6.7109375" style="50" customWidth="1"/>
    <col min="10" max="10" width="10.7109375" style="3" customWidth="1"/>
    <col min="11" max="11" width="100.7109375" customWidth="1"/>
    <col min="12" max="12" width="12.42578125" customWidth="1"/>
  </cols>
  <sheetData>
    <row r="1" spans="1:20" s="1" customFormat="1" x14ac:dyDescent="0.25">
      <c r="A1" s="100" t="s">
        <v>780</v>
      </c>
      <c r="B1" s="100"/>
      <c r="C1" s="100"/>
      <c r="D1" s="100"/>
      <c r="E1" s="100"/>
      <c r="F1" s="100"/>
      <c r="G1" s="100"/>
      <c r="H1" s="100"/>
      <c r="I1" s="100"/>
      <c r="J1" s="100"/>
      <c r="K1" s="3"/>
    </row>
    <row r="2" spans="1:20" s="1" customFormat="1" x14ac:dyDescent="0.25">
      <c r="A2" s="3" t="s">
        <v>870</v>
      </c>
      <c r="K2" s="3"/>
    </row>
    <row r="3" spans="1:20" x14ac:dyDescent="0.25">
      <c r="A3" s="14" t="s">
        <v>91</v>
      </c>
      <c r="B3" s="102" t="s">
        <v>496</v>
      </c>
      <c r="C3" s="103"/>
      <c r="D3" s="2" t="s">
        <v>83</v>
      </c>
      <c r="E3" s="15" t="s">
        <v>84</v>
      </c>
      <c r="F3" s="16" t="s">
        <v>85</v>
      </c>
      <c r="G3" s="16" t="s">
        <v>86</v>
      </c>
      <c r="H3" s="17" t="s">
        <v>87</v>
      </c>
      <c r="I3" s="18" t="s">
        <v>88</v>
      </c>
      <c r="J3" s="18" t="s">
        <v>487</v>
      </c>
      <c r="K3" s="3" t="s">
        <v>135</v>
      </c>
      <c r="L3" s="1"/>
      <c r="M3" s="1"/>
      <c r="N3" s="1"/>
      <c r="O3" s="1"/>
      <c r="P3" s="1"/>
      <c r="Q3" s="1"/>
      <c r="R3" s="1"/>
      <c r="S3" s="1"/>
      <c r="T3" s="1"/>
    </row>
    <row r="4" spans="1:20" x14ac:dyDescent="0.25">
      <c r="A4" s="107" t="s">
        <v>89</v>
      </c>
      <c r="B4" s="108"/>
      <c r="C4" s="108"/>
      <c r="D4" s="108"/>
      <c r="E4" s="108"/>
      <c r="F4" s="108"/>
      <c r="G4" s="108"/>
      <c r="H4" s="108"/>
      <c r="I4" s="108"/>
      <c r="J4" s="110"/>
      <c r="K4" s="104"/>
      <c r="L4" s="105"/>
      <c r="M4" s="105"/>
      <c r="N4" s="105"/>
      <c r="O4" s="105"/>
      <c r="P4" s="105"/>
      <c r="Q4" s="105"/>
      <c r="R4" s="105"/>
      <c r="S4" s="105"/>
      <c r="T4" s="106"/>
    </row>
    <row r="5" spans="1:20" x14ac:dyDescent="0.25">
      <c r="A5" s="50" t="str">
        <f>IF('DATI LOGICI'!A3&lt;&gt;"",'DATI LOGICI'!A3,"")</f>
        <v>Firmware macchina</v>
      </c>
      <c r="B5" s="50">
        <f>IF('DATI LOGICI'!B3&lt;&gt;"",'DATI LOGICI'!B3,"")</f>
        <v>0</v>
      </c>
      <c r="C5" s="50">
        <f>IF('DATI LOGICI'!C3&lt;&gt;"",'DATI LOGICI'!C3,"")</f>
        <v>0</v>
      </c>
      <c r="D5" s="50" t="str">
        <f>IF('DATI LOGICI'!D3&lt;&gt;"",'DATI LOGICI'!D3,"")</f>
        <v xml:space="preserve">uint16_t </v>
      </c>
      <c r="E5" s="50" t="str">
        <f>IF('DATI LOGICI'!E3&lt;&gt;"",'DATI LOGICI'!E3,"")</f>
        <v>255.255</v>
      </c>
      <c r="F5" s="50">
        <f>IF('DATI LOGICI'!F3&lt;&gt;"",'DATI LOGICI'!F3,"")</f>
        <v>0</v>
      </c>
      <c r="G5" s="50" t="str">
        <f>IF('DATI LOGICI'!G3&lt;&gt;"",'DATI LOGICI'!G3,"")</f>
        <v>255.255</v>
      </c>
      <c r="H5" s="50" t="str">
        <f>IF('DATI LOGICI'!H3&lt;&gt;"",'DATI LOGICI'!H3,"")</f>
        <v/>
      </c>
      <c r="I5" s="50" t="str">
        <f>IF('DATI LOGICI'!I3&lt;&gt;"",'DATI LOGICI'!I3,"")</f>
        <v>R</v>
      </c>
    </row>
    <row r="6" spans="1:20" x14ac:dyDescent="0.25">
      <c r="A6" s="50" t="str">
        <f>IF('DATI LOGICI'!A4&lt;&gt;"",'DATI LOGICI'!A4,"")</f>
        <v>Firmware scheda</v>
      </c>
      <c r="B6" s="50">
        <f>IF('DATI LOGICI'!B4&lt;&gt;"",'DATI LOGICI'!B4,"")</f>
        <v>0</v>
      </c>
      <c r="C6" s="50">
        <f>IF('DATI LOGICI'!C4&lt;&gt;"",'DATI LOGICI'!C4,"")</f>
        <v>1</v>
      </c>
      <c r="D6" s="50" t="str">
        <f>IF('DATI LOGICI'!D4&lt;&gt;"",'DATI LOGICI'!D4,"")</f>
        <v xml:space="preserve">uint16_t </v>
      </c>
      <c r="E6" s="50" t="str">
        <f>IF('DATI LOGICI'!E4&lt;&gt;"",'DATI LOGICI'!E4,"")</f>
        <v>255.255</v>
      </c>
      <c r="F6" s="50">
        <f>IF('DATI LOGICI'!F4&lt;&gt;"",'DATI LOGICI'!F4,"")</f>
        <v>0</v>
      </c>
      <c r="G6" s="50" t="str">
        <f>IF('DATI LOGICI'!G4&lt;&gt;"",'DATI LOGICI'!G4,"")</f>
        <v>255.255</v>
      </c>
      <c r="H6" s="50" t="str">
        <f>IF('DATI LOGICI'!H4&lt;&gt;"",'DATI LOGICI'!H4,"")</f>
        <v/>
      </c>
      <c r="I6" s="50" t="str">
        <f>IF('DATI LOGICI'!I4&lt;&gt;"",'DATI LOGICI'!I4,"")</f>
        <v>R</v>
      </c>
    </row>
    <row r="7" spans="1:20" x14ac:dyDescent="0.25">
      <c r="A7" s="50" t="str">
        <f>IF('DATI LOGICI'!A5&lt;&gt;"",'DATI LOGICI'!A5,"")</f>
        <v>Modello</v>
      </c>
      <c r="B7" s="50">
        <f>IF('DATI LOGICI'!B5&lt;&gt;"",'DATI LOGICI'!B5,"")</f>
        <v>0</v>
      </c>
      <c r="C7" s="50">
        <f>IF('DATI LOGICI'!C5&lt;&gt;"",'DATI LOGICI'!C5,"")</f>
        <v>2</v>
      </c>
      <c r="D7" s="50" t="str">
        <f>IF('DATI LOGICI'!D5&lt;&gt;"",'DATI LOGICI'!D5,"")</f>
        <v>String[20]</v>
      </c>
      <c r="E7" s="50" t="str">
        <f>IF('DATI LOGICI'!E5&lt;&gt;"",'DATI LOGICI'!E5,"")</f>
        <v/>
      </c>
      <c r="F7" s="50" t="str">
        <f>IF('DATI LOGICI'!F5&lt;&gt;"",'DATI LOGICI'!F5,"")</f>
        <v/>
      </c>
      <c r="G7" s="50" t="str">
        <f>IF('DATI LOGICI'!G5&lt;&gt;"",'DATI LOGICI'!G5,"")</f>
        <v/>
      </c>
      <c r="H7" s="50" t="str">
        <f>IF('DATI LOGICI'!H5&lt;&gt;"",'DATI LOGICI'!H5,"")</f>
        <v/>
      </c>
      <c r="I7" s="50" t="str">
        <f>IF('DATI LOGICI'!I5&lt;&gt;"",'DATI LOGICI'!I5,"")</f>
        <v>R</v>
      </c>
    </row>
    <row r="8" spans="1:20" x14ac:dyDescent="0.25">
      <c r="A8" s="50" t="str">
        <f>IF('DATI LOGICI'!A6&lt;&gt;"",'DATI LOGICI'!A6,"")</f>
        <v>Matricola</v>
      </c>
      <c r="B8" s="50">
        <f>IF('DATI LOGICI'!B6&lt;&gt;"",'DATI LOGICI'!B6,"")</f>
        <v>0</v>
      </c>
      <c r="C8" s="50">
        <f>IF('DATI LOGICI'!C6&lt;&gt;"",'DATI LOGICI'!C6,"")</f>
        <v>3</v>
      </c>
      <c r="D8" s="50" t="str">
        <f>IF('DATI LOGICI'!D6&lt;&gt;"",'DATI LOGICI'!D6,"")</f>
        <v xml:space="preserve">uint32_t </v>
      </c>
      <c r="E8" s="50" t="str">
        <f>IF('DATI LOGICI'!E6&lt;&gt;"",'DATI LOGICI'!E6,"")</f>
        <v/>
      </c>
      <c r="F8" s="50">
        <f>IF('DATI LOGICI'!F6&lt;&gt;"",'DATI LOGICI'!F6,"")</f>
        <v>0</v>
      </c>
      <c r="G8" s="50">
        <f>IF('DATI LOGICI'!G6&lt;&gt;"",'DATI LOGICI'!G6,"")</f>
        <v>4294967296</v>
      </c>
      <c r="H8" s="50" t="str">
        <f>IF('DATI LOGICI'!H6&lt;&gt;"",'DATI LOGICI'!H6,"")</f>
        <v/>
      </c>
      <c r="I8" s="50" t="str">
        <f>IF('DATI LOGICI'!I6&lt;&gt;"",'DATI LOGICI'!I6,"")</f>
        <v>RW</v>
      </c>
    </row>
    <row r="9" spans="1:20" x14ac:dyDescent="0.25">
      <c r="A9" s="50" t="str">
        <f>IF('DATI LOGICI'!A7&lt;&gt;"",'DATI LOGICI'!A7,"")</f>
        <v>Tipo scheda</v>
      </c>
      <c r="B9" s="50">
        <f>IF('DATI LOGICI'!B7&lt;&gt;"",'DATI LOGICI'!B7,"")</f>
        <v>0</v>
      </c>
      <c r="C9" s="50">
        <f>IF('DATI LOGICI'!C7&lt;&gt;"",'DATI LOGICI'!C7,"")</f>
        <v>4</v>
      </c>
      <c r="D9" s="50" t="str">
        <f>IF('DATI LOGICI'!D7&lt;&gt;"",'DATI LOGICI'!D7,"")</f>
        <v>enum dipendente dalle macchine</v>
      </c>
      <c r="E9" s="50" t="str">
        <f>IF('DATI LOGICI'!E7&lt;&gt;"",'DATI LOGICI'!E7,"")</f>
        <v/>
      </c>
      <c r="F9" s="50" t="str">
        <f>IF('DATI LOGICI'!F7&lt;&gt;"",'DATI LOGICI'!F7,"")</f>
        <v/>
      </c>
      <c r="G9" s="50" t="str">
        <f>IF('DATI LOGICI'!G7&lt;&gt;"",'DATI LOGICI'!G7,"")</f>
        <v/>
      </c>
      <c r="H9" s="50" t="str">
        <f>IF('DATI LOGICI'!H7&lt;&gt;"",'DATI LOGICI'!H7,"")</f>
        <v/>
      </c>
      <c r="I9" s="50" t="str">
        <f>IF('DATI LOGICI'!I7&lt;&gt;"",'DATI LOGICI'!I7,"")</f>
        <v>N</v>
      </c>
    </row>
    <row r="10" spans="1:20" x14ac:dyDescent="0.25">
      <c r="A10" s="53" t="str">
        <f>IF('DATI LOGICI'!A8&lt;&gt;"",'DATI LOGICI'!A8,"")</f>
        <v>Stato</v>
      </c>
      <c r="B10" s="50">
        <f>IF('DATI LOGICI'!B8&lt;&gt;"",'DATI LOGICI'!B8,"")</f>
        <v>0</v>
      </c>
      <c r="C10" s="50">
        <f>IF('DATI LOGICI'!C8&lt;&gt;"",'DATI LOGICI'!C8,"")</f>
        <v>5</v>
      </c>
      <c r="D10" s="50" t="str">
        <f>IF('DATI LOGICI'!D8&lt;&gt;"",'DATI LOGICI'!D8,"")</f>
        <v>3*uint32_t</v>
      </c>
      <c r="E10" s="50" t="str">
        <f>IF('DATI LOGICI'!E8&lt;&gt;"",'DATI LOGICI'!E8,"")</f>
        <v/>
      </c>
      <c r="F10" s="50" t="str">
        <f>IF('DATI LOGICI'!F8&lt;&gt;"",'DATI LOGICI'!F8,"")</f>
        <v/>
      </c>
      <c r="G10" s="50" t="str">
        <f>IF('DATI LOGICI'!G8&lt;&gt;"",'DATI LOGICI'!G8,"")</f>
        <v/>
      </c>
      <c r="H10" s="50" t="str">
        <f>IF('DATI LOGICI'!H8&lt;&gt;"",'DATI LOGICI'!H8,"")</f>
        <v/>
      </c>
      <c r="I10" s="50" t="str">
        <f>IF('DATI LOGICI'!I8&lt;&gt;"",'DATI LOGICI'!I8,"")</f>
        <v>R</v>
      </c>
    </row>
    <row r="11" spans="1:20" x14ac:dyDescent="0.25">
      <c r="A11" s="50" t="str">
        <f>IF('DATI LOGICI'!A9&lt;&gt;"",'DATI LOGICI'!A9,"")</f>
        <v>Allarmi</v>
      </c>
      <c r="B11" s="50">
        <f>IF('DATI LOGICI'!B9&lt;&gt;"",'DATI LOGICI'!B9,"")</f>
        <v>0</v>
      </c>
      <c r="C11" s="50">
        <f>IF('DATI LOGICI'!C9&lt;&gt;"",'DATI LOGICI'!C9,"")</f>
        <v>6</v>
      </c>
      <c r="D11" s="50" t="str">
        <f>IF('DATI LOGICI'!D9&lt;&gt;"",'DATI LOGICI'!D9,"")</f>
        <v xml:space="preserve">due word uint16_t bitmapped </v>
      </c>
      <c r="E11" s="50" t="str">
        <f>IF('DATI LOGICI'!E9&lt;&gt;"",'DATI LOGICI'!E9,"")</f>
        <v/>
      </c>
      <c r="F11" s="50" t="str">
        <f>IF('DATI LOGICI'!F9&lt;&gt;"",'DATI LOGICI'!F9,"")</f>
        <v/>
      </c>
      <c r="G11" s="50" t="str">
        <f>IF('DATI LOGICI'!G9&lt;&gt;"",'DATI LOGICI'!G9,"")</f>
        <v/>
      </c>
      <c r="H11" s="50" t="str">
        <f>IF('DATI LOGICI'!H9&lt;&gt;"",'DATI LOGICI'!H9,"")</f>
        <v/>
      </c>
      <c r="I11" s="50" t="str">
        <f>IF('DATI LOGICI'!I9&lt;&gt;"",'DATI LOGICI'!I9,"")</f>
        <v>R</v>
      </c>
    </row>
    <row r="12" spans="1:20" x14ac:dyDescent="0.25">
      <c r="A12" s="53" t="str">
        <f>IF('DATI LOGICI'!A10&lt;&gt;"",'DATI LOGICI'!A10,"")</f>
        <v>Comandi</v>
      </c>
      <c r="B12" s="50">
        <f>IF('DATI LOGICI'!B10&lt;&gt;"",'DATI LOGICI'!B10,"")</f>
        <v>0</v>
      </c>
      <c r="C12" s="50">
        <f>IF('DATI LOGICI'!C10&lt;&gt;"",'DATI LOGICI'!C10,"")</f>
        <v>7</v>
      </c>
      <c r="D12" s="50" t="str">
        <f>IF('DATI LOGICI'!D10&lt;&gt;"",'DATI LOGICI'!D10,"")</f>
        <v xml:space="preserve">uint16_t </v>
      </c>
      <c r="E12" s="50" t="str">
        <f>IF('DATI LOGICI'!E10&lt;&gt;"",'DATI LOGICI'!E10,"")</f>
        <v/>
      </c>
      <c r="F12" s="50" t="str">
        <f>IF('DATI LOGICI'!F10&lt;&gt;"",'DATI LOGICI'!F10,"")</f>
        <v/>
      </c>
      <c r="G12" s="50" t="str">
        <f>IF('DATI LOGICI'!G10&lt;&gt;"",'DATI LOGICI'!G10,"")</f>
        <v/>
      </c>
      <c r="H12" s="50" t="str">
        <f>IF('DATI LOGICI'!H10&lt;&gt;"",'DATI LOGICI'!H10,"")</f>
        <v/>
      </c>
      <c r="I12" s="50" t="str">
        <f>IF('DATI LOGICI'!I10&lt;&gt;"",'DATI LOGICI'!I10,"")</f>
        <v>N</v>
      </c>
    </row>
    <row r="13" spans="1:20" x14ac:dyDescent="0.25">
      <c r="A13" s="50" t="str">
        <f>IF('DATI LOGICI'!A11&lt;&gt;"",'DATI LOGICI'!A11,"")</f>
        <v>Temperatura scheda</v>
      </c>
      <c r="B13" s="50">
        <f>IF('DATI LOGICI'!B11&lt;&gt;"",'DATI LOGICI'!B11,"")</f>
        <v>0</v>
      </c>
      <c r="C13" s="50">
        <f>IF('DATI LOGICI'!C11&lt;&gt;"",'DATI LOGICI'!C11,"")</f>
        <v>8</v>
      </c>
      <c r="D13" s="50" t="str">
        <f>IF('DATI LOGICI'!D11&lt;&gt;"",'DATI LOGICI'!D11,"")</f>
        <v xml:space="preserve">uint16_t </v>
      </c>
      <c r="E13" s="50" t="str">
        <f>IF('DATI LOGICI'!E11&lt;&gt;"",'DATI LOGICI'!E11,"")</f>
        <v/>
      </c>
      <c r="F13" s="50" t="str">
        <f>IF('DATI LOGICI'!F11&lt;&gt;"",'DATI LOGICI'!F11,"")</f>
        <v/>
      </c>
      <c r="G13" s="50" t="str">
        <f>IF('DATI LOGICI'!G11&lt;&gt;"",'DATI LOGICI'!G11,"")</f>
        <v/>
      </c>
      <c r="H13" s="50" t="str">
        <f>IF('DATI LOGICI'!H11&lt;&gt;"",'DATI LOGICI'!H11,"")</f>
        <v/>
      </c>
      <c r="I13" s="50" t="str">
        <f>IF('DATI LOGICI'!I11&lt;&gt;"",'DATI LOGICI'!I11,"")</f>
        <v>R</v>
      </c>
    </row>
    <row r="14" spans="1:20" x14ac:dyDescent="0.25">
      <c r="A14" s="52" t="str">
        <f>IF('DATI LOGICI'!A12&lt;&gt;"",'DATI LOGICI'!A12,"")</f>
        <v>Secondi lavoro motore parziale</v>
      </c>
      <c r="B14" s="50">
        <f>IF('DATI LOGICI'!B12&lt;&gt;"",'DATI LOGICI'!B12,"")</f>
        <v>0</v>
      </c>
      <c r="C14" s="50">
        <f>IF('DATI LOGICI'!C12&lt;&gt;"",'DATI LOGICI'!C12,"")</f>
        <v>9</v>
      </c>
      <c r="D14" s="50" t="str">
        <f>IF('DATI LOGICI'!D12&lt;&gt;"",'DATI LOGICI'!D12,"")</f>
        <v xml:space="preserve">uint32_t </v>
      </c>
      <c r="E14" s="50" t="str">
        <f>IF('DATI LOGICI'!E12&lt;&gt;"",'DATI LOGICI'!E12,"")</f>
        <v/>
      </c>
      <c r="F14" s="50" t="str">
        <f>IF('DATI LOGICI'!F12&lt;&gt;"",'DATI LOGICI'!F12,"")</f>
        <v/>
      </c>
      <c r="G14" s="50" t="str">
        <f>IF('DATI LOGICI'!G12&lt;&gt;"",'DATI LOGICI'!G12,"")</f>
        <v/>
      </c>
      <c r="H14" s="50" t="str">
        <f>IF('DATI LOGICI'!H12&lt;&gt;"",'DATI LOGICI'!H12,"")</f>
        <v/>
      </c>
      <c r="I14" s="50" t="str">
        <f>IF('DATI LOGICI'!I12&lt;&gt;"",'DATI LOGICI'!I12,"")</f>
        <v>RW</v>
      </c>
    </row>
    <row r="15" spans="1:20" x14ac:dyDescent="0.25">
      <c r="A15" s="52" t="str">
        <f>IF('DATI LOGICI'!A13&lt;&gt;"",'DATI LOGICI'!A13,"")</f>
        <v>Secondi lavoro motore totale</v>
      </c>
      <c r="B15" s="50">
        <f>IF('DATI LOGICI'!B13&lt;&gt;"",'DATI LOGICI'!B13,"")</f>
        <v>0</v>
      </c>
      <c r="C15" s="50" t="str">
        <f>IF('DATI LOGICI'!C13&lt;&gt;"",'DATI LOGICI'!C13,"")</f>
        <v>A</v>
      </c>
      <c r="D15" s="50" t="str">
        <f>IF('DATI LOGICI'!D13&lt;&gt;"",'DATI LOGICI'!D13,"")</f>
        <v xml:space="preserve">uint32_t </v>
      </c>
      <c r="E15" s="50" t="str">
        <f>IF('DATI LOGICI'!E13&lt;&gt;"",'DATI LOGICI'!E13,"")</f>
        <v/>
      </c>
      <c r="F15" s="50" t="str">
        <f>IF('DATI LOGICI'!F13&lt;&gt;"",'DATI LOGICI'!F13,"")</f>
        <v/>
      </c>
      <c r="G15" s="50" t="str">
        <f>IF('DATI LOGICI'!G13&lt;&gt;"",'DATI LOGICI'!G13,"")</f>
        <v/>
      </c>
      <c r="H15" s="50" t="str">
        <f>IF('DATI LOGICI'!H13&lt;&gt;"",'DATI LOGICI'!H13,"")</f>
        <v/>
      </c>
      <c r="I15" s="50" t="str">
        <f>IF('DATI LOGICI'!I13&lt;&gt;"",'DATI LOGICI'!I13,"")</f>
        <v>RW</v>
      </c>
    </row>
    <row r="16" spans="1:20" x14ac:dyDescent="0.25">
      <c r="A16" s="52" t="str">
        <f>IF('DATI LOGICI'!A14&lt;&gt;"",'DATI LOGICI'!A14,"")</f>
        <v>Cicli complessivi parziale</v>
      </c>
      <c r="B16" s="50">
        <f>IF('DATI LOGICI'!B14&lt;&gt;"",'DATI LOGICI'!B14,"")</f>
        <v>0</v>
      </c>
      <c r="C16" s="50" t="str">
        <f>IF('DATI LOGICI'!C14&lt;&gt;"",'DATI LOGICI'!C14,"")</f>
        <v>B</v>
      </c>
      <c r="D16" s="50" t="str">
        <f>IF('DATI LOGICI'!D14&lt;&gt;"",'DATI LOGICI'!D14,"")</f>
        <v xml:space="preserve">uint32_t </v>
      </c>
      <c r="E16" s="50" t="str">
        <f>IF('DATI LOGICI'!E14&lt;&gt;"",'DATI LOGICI'!E14,"")</f>
        <v/>
      </c>
      <c r="F16" s="50" t="str">
        <f>IF('DATI LOGICI'!F14&lt;&gt;"",'DATI LOGICI'!F14,"")</f>
        <v/>
      </c>
      <c r="G16" s="50" t="str">
        <f>IF('DATI LOGICI'!G14&lt;&gt;"",'DATI LOGICI'!G14,"")</f>
        <v/>
      </c>
      <c r="H16" s="50" t="str">
        <f>IF('DATI LOGICI'!H14&lt;&gt;"",'DATI LOGICI'!H14,"")</f>
        <v/>
      </c>
      <c r="I16" s="50" t="str">
        <f>IF('DATI LOGICI'!I14&lt;&gt;"",'DATI LOGICI'!I14,"")</f>
        <v>RW</v>
      </c>
    </row>
    <row r="17" spans="1:9" x14ac:dyDescent="0.25">
      <c r="A17" s="52" t="str">
        <f>IF('DATI LOGICI'!A15&lt;&gt;"",'DATI LOGICI'!A15,"")</f>
        <v>Cicli complessivi totale</v>
      </c>
      <c r="B17" s="50">
        <f>IF('DATI LOGICI'!B15&lt;&gt;"",'DATI LOGICI'!B15,"")</f>
        <v>0</v>
      </c>
      <c r="C17" s="50" t="str">
        <f>IF('DATI LOGICI'!C15&lt;&gt;"",'DATI LOGICI'!C15,"")</f>
        <v>C</v>
      </c>
      <c r="D17" s="50" t="str">
        <f>IF('DATI LOGICI'!D15&lt;&gt;"",'DATI LOGICI'!D15,"")</f>
        <v xml:space="preserve">uint32_t </v>
      </c>
      <c r="E17" s="50" t="str">
        <f>IF('DATI LOGICI'!E15&lt;&gt;"",'DATI LOGICI'!E15,"")</f>
        <v/>
      </c>
      <c r="F17" s="50" t="str">
        <f>IF('DATI LOGICI'!F15&lt;&gt;"",'DATI LOGICI'!F15,"")</f>
        <v/>
      </c>
      <c r="G17" s="50" t="str">
        <f>IF('DATI LOGICI'!G15&lt;&gt;"",'DATI LOGICI'!G15,"")</f>
        <v/>
      </c>
      <c r="H17" s="50" t="str">
        <f>IF('DATI LOGICI'!H15&lt;&gt;"",'DATI LOGICI'!H15,"")</f>
        <v/>
      </c>
      <c r="I17" s="50" t="str">
        <f>IF('DATI LOGICI'!I15&lt;&gt;"",'DATI LOGICI'!I15,"")</f>
        <v>RW</v>
      </c>
    </row>
    <row r="18" spans="1:9" x14ac:dyDescent="0.25">
      <c r="A18" s="52" t="str">
        <f>IF('DATI LOGICI'!A16&lt;&gt;"",'DATI LOGICI'!A16,"")</f>
        <v>Cicli completi eseguiti parziale</v>
      </c>
      <c r="B18" s="50">
        <f>IF('DATI LOGICI'!B16&lt;&gt;"",'DATI LOGICI'!B16,"")</f>
        <v>0</v>
      </c>
      <c r="C18" s="50" t="str">
        <f>IF('DATI LOGICI'!C16&lt;&gt;"",'DATI LOGICI'!C16,"")</f>
        <v>D</v>
      </c>
      <c r="D18" s="50" t="str">
        <f>IF('DATI LOGICI'!D16&lt;&gt;"",'DATI LOGICI'!D16,"")</f>
        <v xml:space="preserve">uint32_t </v>
      </c>
      <c r="E18" s="50" t="str">
        <f>IF('DATI LOGICI'!E16&lt;&gt;"",'DATI LOGICI'!E16,"")</f>
        <v/>
      </c>
      <c r="F18" s="50" t="str">
        <f>IF('DATI LOGICI'!F16&lt;&gt;"",'DATI LOGICI'!F16,"")</f>
        <v/>
      </c>
      <c r="G18" s="50" t="str">
        <f>IF('DATI LOGICI'!G16&lt;&gt;"",'DATI LOGICI'!G16,"")</f>
        <v/>
      </c>
      <c r="H18" s="50" t="str">
        <f>IF('DATI LOGICI'!H16&lt;&gt;"",'DATI LOGICI'!H16,"")</f>
        <v/>
      </c>
      <c r="I18" s="50" t="str">
        <f>IF('DATI LOGICI'!I16&lt;&gt;"",'DATI LOGICI'!I16,"")</f>
        <v>RW</v>
      </c>
    </row>
    <row r="19" spans="1:9" x14ac:dyDescent="0.25">
      <c r="A19" s="52" t="str">
        <f>IF('DATI LOGICI'!A17&lt;&gt;"",'DATI LOGICI'!A17,"")</f>
        <v>Cicli completi eseguiti totale</v>
      </c>
      <c r="B19" s="50">
        <f>IF('DATI LOGICI'!B17&lt;&gt;"",'DATI LOGICI'!B17,"")</f>
        <v>0</v>
      </c>
      <c r="C19" s="50" t="str">
        <f>IF('DATI LOGICI'!C17&lt;&gt;"",'DATI LOGICI'!C17,"")</f>
        <v>E</v>
      </c>
      <c r="D19" s="50" t="str">
        <f>IF('DATI LOGICI'!D17&lt;&gt;"",'DATI LOGICI'!D17,"")</f>
        <v xml:space="preserve">uint32_t </v>
      </c>
      <c r="E19" s="50" t="str">
        <f>IF('DATI LOGICI'!E17&lt;&gt;"",'DATI LOGICI'!E17,"")</f>
        <v/>
      </c>
      <c r="F19" s="50" t="str">
        <f>IF('DATI LOGICI'!F17&lt;&gt;"",'DATI LOGICI'!F17,"")</f>
        <v/>
      </c>
      <c r="G19" s="50" t="str">
        <f>IF('DATI LOGICI'!G17&lt;&gt;"",'DATI LOGICI'!G17,"")</f>
        <v/>
      </c>
      <c r="H19" s="50" t="str">
        <f>IF('DATI LOGICI'!H17&lt;&gt;"",'DATI LOGICI'!H17,"")</f>
        <v/>
      </c>
      <c r="I19" s="50" t="str">
        <f>IF('DATI LOGICI'!I17&lt;&gt;"",'DATI LOGICI'!I17,"")</f>
        <v>RW</v>
      </c>
    </row>
    <row r="20" spans="1:9" x14ac:dyDescent="0.25">
      <c r="A20" s="51" t="str">
        <f>IF('DATI LOGICI'!A18&lt;&gt;"",'DATI LOGICI'!A18,"")</f>
        <v>Livello batteria</v>
      </c>
      <c r="B20" s="50">
        <f>IF('DATI LOGICI'!B18&lt;&gt;"",'DATI LOGICI'!B18,"")</f>
        <v>0</v>
      </c>
      <c r="C20" s="50" t="str">
        <f>IF('DATI LOGICI'!C18&lt;&gt;"",'DATI LOGICI'!C18,"")</f>
        <v>F</v>
      </c>
      <c r="D20" s="50" t="str">
        <f>IF('DATI LOGICI'!D18&lt;&gt;"",'DATI LOGICI'!D18,"")</f>
        <v xml:space="preserve">uint16_t </v>
      </c>
      <c r="E20" s="50" t="str">
        <f>IF('DATI LOGICI'!E18&lt;&gt;"",'DATI LOGICI'!E18,"")</f>
        <v/>
      </c>
      <c r="F20" s="50" t="str">
        <f>IF('DATI LOGICI'!F18&lt;&gt;"",'DATI LOGICI'!F18,"")</f>
        <v/>
      </c>
      <c r="G20" s="50" t="str">
        <f>IF('DATI LOGICI'!G18&lt;&gt;"",'DATI LOGICI'!G18,"")</f>
        <v/>
      </c>
      <c r="H20" s="50" t="str">
        <f>IF('DATI LOGICI'!H18&lt;&gt;"",'DATI LOGICI'!H18,"")</f>
        <v/>
      </c>
      <c r="I20" s="50" t="str">
        <f>IF('DATI LOGICI'!I18&lt;&gt;"",'DATI LOGICI'!I18,"")</f>
        <v>R</v>
      </c>
    </row>
    <row r="21" spans="1:9" x14ac:dyDescent="0.25">
      <c r="A21" s="52" t="str">
        <f>IF('DATI LOGICI'!A19&lt;&gt;"",'DATI LOGICI'!A19,"")</f>
        <v>Salute batteria</v>
      </c>
      <c r="B21" s="50">
        <f>IF('DATI LOGICI'!B19&lt;&gt;"",'DATI LOGICI'!B19,"")</f>
        <v>0</v>
      </c>
      <c r="C21" s="50">
        <f>IF('DATI LOGICI'!C19&lt;&gt;"",'DATI LOGICI'!C19,"")</f>
        <v>10</v>
      </c>
      <c r="D21" s="50" t="str">
        <f>IF('DATI LOGICI'!D19&lt;&gt;"",'DATI LOGICI'!D19,"")</f>
        <v xml:space="preserve">uint16_t </v>
      </c>
      <c r="E21" s="50" t="str">
        <f>IF('DATI LOGICI'!E19&lt;&gt;"",'DATI LOGICI'!E19,"")</f>
        <v/>
      </c>
      <c r="F21" s="50" t="str">
        <f>IF('DATI LOGICI'!F19&lt;&gt;"",'DATI LOGICI'!F19,"")</f>
        <v/>
      </c>
      <c r="G21" s="50" t="str">
        <f>IF('DATI LOGICI'!G19&lt;&gt;"",'DATI LOGICI'!G19,"")</f>
        <v/>
      </c>
      <c r="H21" s="50" t="str">
        <f>IF('DATI LOGICI'!H19&lt;&gt;"",'DATI LOGICI'!H19,"")</f>
        <v/>
      </c>
      <c r="I21" s="50" t="str">
        <f>IF('DATI LOGICI'!I19&lt;&gt;"",'DATI LOGICI'!I19,"")</f>
        <v>R</v>
      </c>
    </row>
    <row r="22" spans="1:9" x14ac:dyDescent="0.25">
      <c r="A22" s="52" t="str">
        <f>IF('DATI LOGICI'!A20&lt;&gt;"",'DATI LOGICI'!A20,"")</f>
        <v>Cicli batteria</v>
      </c>
      <c r="B22" s="50">
        <f>IF('DATI LOGICI'!B20&lt;&gt;"",'DATI LOGICI'!B20,"")</f>
        <v>0</v>
      </c>
      <c r="C22" s="50">
        <f>IF('DATI LOGICI'!C20&lt;&gt;"",'DATI LOGICI'!C20,"")</f>
        <v>11</v>
      </c>
      <c r="D22" s="50" t="str">
        <f>IF('DATI LOGICI'!D20&lt;&gt;"",'DATI LOGICI'!D20,"")</f>
        <v xml:space="preserve">uint16_t </v>
      </c>
      <c r="E22" s="50" t="str">
        <f>IF('DATI LOGICI'!E20&lt;&gt;"",'DATI LOGICI'!E20,"")</f>
        <v/>
      </c>
      <c r="F22" s="50" t="str">
        <f>IF('DATI LOGICI'!F20&lt;&gt;"",'DATI LOGICI'!F20,"")</f>
        <v/>
      </c>
      <c r="G22" s="50" t="str">
        <f>IF('DATI LOGICI'!G20&lt;&gt;"",'DATI LOGICI'!G20,"")</f>
        <v/>
      </c>
      <c r="H22" s="50" t="str">
        <f>IF('DATI LOGICI'!H20&lt;&gt;"",'DATI LOGICI'!H20,"")</f>
        <v/>
      </c>
      <c r="I22" s="50" t="str">
        <f>IF('DATI LOGICI'!I20&lt;&gt;"",'DATI LOGICI'!I20,"")</f>
        <v>R</v>
      </c>
    </row>
    <row r="23" spans="1:9" x14ac:dyDescent="0.25">
      <c r="A23" s="52" t="str">
        <f>IF('DATI LOGICI'!A21&lt;&gt;"",'DATI LOGICI'!A21,"")</f>
        <v>Temperatura batteria</v>
      </c>
      <c r="B23" s="50">
        <f>IF('DATI LOGICI'!B21&lt;&gt;"",'DATI LOGICI'!B21,"")</f>
        <v>0</v>
      </c>
      <c r="C23" s="50">
        <f>IF('DATI LOGICI'!C21&lt;&gt;"",'DATI LOGICI'!C21,"")</f>
        <v>12</v>
      </c>
      <c r="D23" s="50" t="str">
        <f>IF('DATI LOGICI'!D21&lt;&gt;"",'DATI LOGICI'!D21,"")</f>
        <v>int16_t</v>
      </c>
      <c r="E23" s="50" t="str">
        <f>IF('DATI LOGICI'!E21&lt;&gt;"",'DATI LOGICI'!E21,"")</f>
        <v/>
      </c>
      <c r="F23" s="50" t="str">
        <f>IF('DATI LOGICI'!F21&lt;&gt;"",'DATI LOGICI'!F21,"")</f>
        <v/>
      </c>
      <c r="G23" s="50" t="str">
        <f>IF('DATI LOGICI'!G21&lt;&gt;"",'DATI LOGICI'!G21,"")</f>
        <v/>
      </c>
      <c r="H23" s="50" t="str">
        <f>IF('DATI LOGICI'!H21&lt;&gt;"",'DATI LOGICI'!H21,"")</f>
        <v/>
      </c>
      <c r="I23" s="50" t="str">
        <f>IF('DATI LOGICI'!I21&lt;&gt;"",'DATI LOGICI'!I21,"")</f>
        <v>R</v>
      </c>
    </row>
    <row r="24" spans="1:9" x14ac:dyDescent="0.25">
      <c r="A24" s="52" t="str">
        <f>IF('DATI LOGICI'!A22&lt;&gt;"",'DATI LOGICI'!A22,"")</f>
        <v>BatteryFirmware</v>
      </c>
      <c r="B24" s="50">
        <f>IF('DATI LOGICI'!B22&lt;&gt;"",'DATI LOGICI'!B22,"")</f>
        <v>0</v>
      </c>
      <c r="C24" s="50">
        <f>IF('DATI LOGICI'!C22&lt;&gt;"",'DATI LOGICI'!C22,"")</f>
        <v>13</v>
      </c>
      <c r="D24" s="50" t="str">
        <f>IF('DATI LOGICI'!D22&lt;&gt;"",'DATI LOGICI'!D22,"")</f>
        <v>uint32_t</v>
      </c>
      <c r="E24" s="50" t="str">
        <f>IF('DATI LOGICI'!E22&lt;&gt;"",'DATI LOGICI'!E22,"")</f>
        <v/>
      </c>
      <c r="F24" s="50" t="str">
        <f>IF('DATI LOGICI'!F22&lt;&gt;"",'DATI LOGICI'!F22,"")</f>
        <v/>
      </c>
      <c r="G24" s="50" t="str">
        <f>IF('DATI LOGICI'!G22&lt;&gt;"",'DATI LOGICI'!G22,"")</f>
        <v/>
      </c>
      <c r="H24" s="50" t="str">
        <f>IF('DATI LOGICI'!H22&lt;&gt;"",'DATI LOGICI'!H22,"")</f>
        <v/>
      </c>
      <c r="I24" s="50" t="str">
        <f>IF('DATI LOGICI'!I22&lt;&gt;"",'DATI LOGICI'!I22,"")</f>
        <v>R</v>
      </c>
    </row>
    <row r="25" spans="1:9" x14ac:dyDescent="0.25">
      <c r="A25" s="52" t="str">
        <f>IF('DATI LOGICI'!A23&lt;&gt;"",'DATI LOGICI'!A23,"")</f>
        <v>BatterySerial</v>
      </c>
      <c r="B25" s="50">
        <f>IF('DATI LOGICI'!B23&lt;&gt;"",'DATI LOGICI'!B23,"")</f>
        <v>0</v>
      </c>
      <c r="C25" s="50">
        <f>IF('DATI LOGICI'!C23&lt;&gt;"",'DATI LOGICI'!C23,"")</f>
        <v>14</v>
      </c>
      <c r="D25" s="50" t="str">
        <f>IF('DATI LOGICI'!D23&lt;&gt;"",'DATI LOGICI'!D23,"")</f>
        <v xml:space="preserve">uint32_t </v>
      </c>
      <c r="E25" s="50" t="str">
        <f>IF('DATI LOGICI'!E23&lt;&gt;"",'DATI LOGICI'!E23,"")</f>
        <v/>
      </c>
      <c r="F25" s="50" t="str">
        <f>IF('DATI LOGICI'!F23&lt;&gt;"",'DATI LOGICI'!F23,"")</f>
        <v/>
      </c>
      <c r="G25" s="50" t="str">
        <f>IF('DATI LOGICI'!G23&lt;&gt;"",'DATI LOGICI'!G23,"")</f>
        <v/>
      </c>
      <c r="H25" s="50" t="str">
        <f>IF('DATI LOGICI'!H23&lt;&gt;"",'DATI LOGICI'!H23,"")</f>
        <v/>
      </c>
      <c r="I25" s="50" t="str">
        <f>IF('DATI LOGICI'!I23&lt;&gt;"",'DATI LOGICI'!I23,"")</f>
        <v>R</v>
      </c>
    </row>
    <row r="26" spans="1:9" x14ac:dyDescent="0.25">
      <c r="A26" s="50" t="str">
        <f>IF('DATI LOGICI'!A24&lt;&gt;"",'DATI LOGICI'!A24,"")</f>
        <v>Stato ingressi fisici</v>
      </c>
      <c r="B26" s="50">
        <f>IF('DATI LOGICI'!B24&lt;&gt;"",'DATI LOGICI'!B24,"")</f>
        <v>0</v>
      </c>
      <c r="C26" s="50">
        <f>IF('DATI LOGICI'!C24&lt;&gt;"",'DATI LOGICI'!C24,"")</f>
        <v>15</v>
      </c>
      <c r="D26" s="50" t="str">
        <f>IF('DATI LOGICI'!D24&lt;&gt;"",'DATI LOGICI'!D24,"")</f>
        <v xml:space="preserve">uint32_t </v>
      </c>
      <c r="E26" s="50" t="str">
        <f>IF('DATI LOGICI'!E24&lt;&gt;"",'DATI LOGICI'!E24,"")</f>
        <v/>
      </c>
      <c r="F26" s="50" t="str">
        <f>IF('DATI LOGICI'!F24&lt;&gt;"",'DATI LOGICI'!F24,"")</f>
        <v/>
      </c>
      <c r="G26" s="50" t="str">
        <f>IF('DATI LOGICI'!G24&lt;&gt;"",'DATI LOGICI'!G24,"")</f>
        <v/>
      </c>
      <c r="H26" s="50" t="str">
        <f>IF('DATI LOGICI'!H24&lt;&gt;"",'DATI LOGICI'!H24,"")</f>
        <v/>
      </c>
      <c r="I26" s="50" t="str">
        <f>IF('DATI LOGICI'!I24&lt;&gt;"",'DATI LOGICI'!I24,"")</f>
        <v>R</v>
      </c>
    </row>
    <row r="27" spans="1:9" x14ac:dyDescent="0.25">
      <c r="A27" s="50" t="str">
        <f>IF('DATI LOGICI'!A25&lt;&gt;"",'DATI LOGICI'!A25,"")</f>
        <v>Stato uscite fisiche</v>
      </c>
      <c r="B27" s="50">
        <f>IF('DATI LOGICI'!B25&lt;&gt;"",'DATI LOGICI'!B25,"")</f>
        <v>0</v>
      </c>
      <c r="C27" s="50">
        <f>IF('DATI LOGICI'!C25&lt;&gt;"",'DATI LOGICI'!C25,"")</f>
        <v>16</v>
      </c>
      <c r="D27" s="50" t="str">
        <f>IF('DATI LOGICI'!D25&lt;&gt;"",'DATI LOGICI'!D25,"")</f>
        <v xml:space="preserve">uint32_t </v>
      </c>
      <c r="E27" s="50" t="str">
        <f>IF('DATI LOGICI'!E25&lt;&gt;"",'DATI LOGICI'!E25,"")</f>
        <v/>
      </c>
      <c r="F27" s="50" t="str">
        <f>IF('DATI LOGICI'!F25&lt;&gt;"",'DATI LOGICI'!F25,"")</f>
        <v/>
      </c>
      <c r="G27" s="50" t="str">
        <f>IF('DATI LOGICI'!G25&lt;&gt;"",'DATI LOGICI'!G25,"")</f>
        <v/>
      </c>
      <c r="H27" s="50" t="str">
        <f>IF('DATI LOGICI'!H25&lt;&gt;"",'DATI LOGICI'!H25,"")</f>
        <v/>
      </c>
      <c r="I27" s="50" t="str">
        <f>IF('DATI LOGICI'!I25&lt;&gt;"",'DATI LOGICI'!I25,"")</f>
        <v>R</v>
      </c>
    </row>
    <row r="28" spans="1:9" x14ac:dyDescent="0.25">
      <c r="A28" s="50" t="str">
        <f>IF('DATI LOGICI'!A26&lt;&gt;"",'DATI LOGICI'!A26,"")</f>
        <v>Firmware Bootloader</v>
      </c>
      <c r="B28" s="50">
        <f>IF('DATI LOGICI'!B26&lt;&gt;"",'DATI LOGICI'!B26,"")</f>
        <v>0</v>
      </c>
      <c r="C28" s="50">
        <f>IF('DATI LOGICI'!C26&lt;&gt;"",'DATI LOGICI'!C26,"")</f>
        <v>17</v>
      </c>
      <c r="D28" s="50" t="str">
        <f>IF('DATI LOGICI'!D26&lt;&gt;"",'DATI LOGICI'!D26,"")</f>
        <v xml:space="preserve">uint16_t </v>
      </c>
      <c r="E28" s="50" t="str">
        <f>IF('DATI LOGICI'!E26&lt;&gt;"",'DATI LOGICI'!E26,"")</f>
        <v>255.255</v>
      </c>
      <c r="F28" s="50">
        <f>IF('DATI LOGICI'!F26&lt;&gt;"",'DATI LOGICI'!F26,"")</f>
        <v>0</v>
      </c>
      <c r="G28" s="50" t="str">
        <f>IF('DATI LOGICI'!G26&lt;&gt;"",'DATI LOGICI'!G26,"")</f>
        <v>255.255</v>
      </c>
      <c r="H28" s="50" t="str">
        <f>IF('DATI LOGICI'!H26&lt;&gt;"",'DATI LOGICI'!H26,"")</f>
        <v/>
      </c>
      <c r="I28" s="50" t="str">
        <f>IF('DATI LOGICI'!I26&lt;&gt;"",'DATI LOGICI'!I26,"")</f>
        <v>R</v>
      </c>
    </row>
    <row r="29" spans="1:9" x14ac:dyDescent="0.25">
      <c r="A29" s="50" t="str">
        <f>IF('DATI LOGICI'!A27&lt;&gt;"",'DATI LOGICI'!A27,"")</f>
        <v/>
      </c>
      <c r="B29" s="50" t="str">
        <f>IF('DATI LOGICI'!B27&lt;&gt;"",'DATI LOGICI'!B27,"")</f>
        <v/>
      </c>
      <c r="C29" s="50" t="str">
        <f>IF('DATI LOGICI'!C27&lt;&gt;"",'DATI LOGICI'!C27,"")</f>
        <v/>
      </c>
      <c r="D29" s="50" t="str">
        <f>IF('DATI LOGICI'!D27&lt;&gt;"",'DATI LOGICI'!D27,"")</f>
        <v/>
      </c>
      <c r="E29" s="50" t="str">
        <f>IF('DATI LOGICI'!E27&lt;&gt;"",'DATI LOGICI'!E27,"")</f>
        <v/>
      </c>
      <c r="F29" s="50" t="str">
        <f>IF('DATI LOGICI'!F27&lt;&gt;"",'DATI LOGICI'!F27,"")</f>
        <v/>
      </c>
      <c r="G29" s="50" t="str">
        <f>IF('DATI LOGICI'!G27&lt;&gt;"",'DATI LOGICI'!G27,"")</f>
        <v/>
      </c>
      <c r="H29" s="50" t="str">
        <f>IF('DATI LOGICI'!H27&lt;&gt;"",'DATI LOGICI'!H27,"")</f>
        <v/>
      </c>
      <c r="I29" s="50" t="str">
        <f>IF('DATI LOGICI'!I27&lt;&gt;"",'DATI LOGICI'!I27,"")</f>
        <v/>
      </c>
    </row>
    <row r="30" spans="1:9" x14ac:dyDescent="0.25">
      <c r="A30" s="50" t="str">
        <f>IF('DATI LOGICI'!A28&lt;&gt;"",'DATI LOGICI'!A28,"")</f>
        <v/>
      </c>
      <c r="B30" s="50" t="str">
        <f>IF('DATI LOGICI'!B28&lt;&gt;"",'DATI LOGICI'!B28,"")</f>
        <v/>
      </c>
      <c r="C30" s="50" t="str">
        <f>IF('DATI LOGICI'!C28&lt;&gt;"",'DATI LOGICI'!C28,"")</f>
        <v/>
      </c>
      <c r="D30" s="50" t="str">
        <f>IF('DATI LOGICI'!D28&lt;&gt;"",'DATI LOGICI'!D28,"")</f>
        <v/>
      </c>
      <c r="E30" s="50" t="str">
        <f>IF('DATI LOGICI'!E28&lt;&gt;"",'DATI LOGICI'!E28,"")</f>
        <v/>
      </c>
      <c r="F30" s="50" t="str">
        <f>IF('DATI LOGICI'!F28&lt;&gt;"",'DATI LOGICI'!F28,"")</f>
        <v/>
      </c>
      <c r="G30" s="50" t="str">
        <f>IF('DATI LOGICI'!G28&lt;&gt;"",'DATI LOGICI'!G28,"")</f>
        <v/>
      </c>
      <c r="H30" s="50" t="str">
        <f>IF('DATI LOGICI'!H28&lt;&gt;"",'DATI LOGICI'!H28,"")</f>
        <v/>
      </c>
      <c r="I30" s="50" t="str">
        <f>IF('DATI LOGICI'!I28&lt;&gt;"",'DATI LOGICI'!I28,"")</f>
        <v/>
      </c>
    </row>
    <row r="31" spans="1:9" x14ac:dyDescent="0.25">
      <c r="A31" s="50" t="str">
        <f>IF('DATI LOGICI'!A29&lt;&gt;"",'DATI LOGICI'!A29,"")</f>
        <v/>
      </c>
      <c r="B31" s="50" t="str">
        <f>IF('DATI LOGICI'!B29&lt;&gt;"",'DATI LOGICI'!B29,"")</f>
        <v/>
      </c>
      <c r="C31" s="50" t="str">
        <f>IF('DATI LOGICI'!C29&lt;&gt;"",'DATI LOGICI'!C29,"")</f>
        <v/>
      </c>
      <c r="D31" s="50" t="str">
        <f>IF('DATI LOGICI'!D29&lt;&gt;"",'DATI LOGICI'!D29,"")</f>
        <v/>
      </c>
      <c r="E31" s="50" t="str">
        <f>IF('DATI LOGICI'!E29&lt;&gt;"",'DATI LOGICI'!E29,"")</f>
        <v/>
      </c>
      <c r="F31" s="50" t="str">
        <f>IF('DATI LOGICI'!F29&lt;&gt;"",'DATI LOGICI'!F29,"")</f>
        <v/>
      </c>
      <c r="G31" s="50" t="str">
        <f>IF('DATI LOGICI'!G29&lt;&gt;"",'DATI LOGICI'!G29,"")</f>
        <v/>
      </c>
      <c r="H31" s="50" t="str">
        <f>IF('DATI LOGICI'!H29&lt;&gt;"",'DATI LOGICI'!H29,"")</f>
        <v/>
      </c>
      <c r="I31" s="50" t="str">
        <f>IF('DATI LOGICI'!I29&lt;&gt;"",'DATI LOGICI'!I29,"")</f>
        <v/>
      </c>
    </row>
    <row r="32" spans="1:9" x14ac:dyDescent="0.25">
      <c r="A32" s="50" t="str">
        <f>IF('DATI LOGICI'!A30&lt;&gt;"",'DATI LOGICI'!A30,"")</f>
        <v/>
      </c>
      <c r="B32" s="50" t="str">
        <f>IF('DATI LOGICI'!B30&lt;&gt;"",'DATI LOGICI'!B30,"")</f>
        <v/>
      </c>
      <c r="C32" s="50" t="str">
        <f>IF('DATI LOGICI'!C30&lt;&gt;"",'DATI LOGICI'!C30,"")</f>
        <v/>
      </c>
      <c r="D32" s="50" t="str">
        <f>IF('DATI LOGICI'!D30&lt;&gt;"",'DATI LOGICI'!D30,"")</f>
        <v/>
      </c>
      <c r="E32" s="50" t="str">
        <f>IF('DATI LOGICI'!E30&lt;&gt;"",'DATI LOGICI'!E30,"")</f>
        <v/>
      </c>
      <c r="F32" s="50" t="str">
        <f>IF('DATI LOGICI'!F30&lt;&gt;"",'DATI LOGICI'!F30,"")</f>
        <v/>
      </c>
      <c r="G32" s="50" t="str">
        <f>IF('DATI LOGICI'!G30&lt;&gt;"",'DATI LOGICI'!G30,"")</f>
        <v/>
      </c>
      <c r="H32" s="50" t="str">
        <f>IF('DATI LOGICI'!H30&lt;&gt;"",'DATI LOGICI'!H30,"")</f>
        <v/>
      </c>
      <c r="I32" s="50" t="str">
        <f>IF('DATI LOGICI'!I30&lt;&gt;"",'DATI LOGICI'!I30,"")</f>
        <v/>
      </c>
    </row>
    <row r="33" spans="1:20" x14ac:dyDescent="0.25">
      <c r="A33" s="50" t="str">
        <f>IF('DATI LOGICI'!A31&lt;&gt;"",'DATI LOGICI'!A31,"")</f>
        <v/>
      </c>
      <c r="B33" s="50" t="str">
        <f>IF('DATI LOGICI'!B31&lt;&gt;"",'DATI LOGICI'!B31,"")</f>
        <v/>
      </c>
      <c r="C33" s="50" t="str">
        <f>IF('DATI LOGICI'!C31&lt;&gt;"",'DATI LOGICI'!C31,"")</f>
        <v/>
      </c>
      <c r="D33" s="50" t="str">
        <f>IF('DATI LOGICI'!D31&lt;&gt;"",'DATI LOGICI'!D31,"")</f>
        <v/>
      </c>
      <c r="E33" s="50" t="str">
        <f>IF('DATI LOGICI'!E31&lt;&gt;"",'DATI LOGICI'!E31,"")</f>
        <v/>
      </c>
      <c r="F33" s="50" t="str">
        <f>IF('DATI LOGICI'!F31&lt;&gt;"",'DATI LOGICI'!F31,"")</f>
        <v/>
      </c>
      <c r="G33" s="50" t="str">
        <f>IF('DATI LOGICI'!G31&lt;&gt;"",'DATI LOGICI'!G31,"")</f>
        <v/>
      </c>
      <c r="H33" s="50" t="str">
        <f>IF('DATI LOGICI'!H31&lt;&gt;"",'DATI LOGICI'!H31,"")</f>
        <v/>
      </c>
      <c r="I33" s="50" t="str">
        <f>IF('DATI LOGICI'!I31&lt;&gt;"",'DATI LOGICI'!I31,"")</f>
        <v/>
      </c>
    </row>
    <row r="34" spans="1:20" x14ac:dyDescent="0.25">
      <c r="A34" s="50" t="str">
        <f>IF('DATI LOGICI'!A32&lt;&gt;"",'DATI LOGICI'!A32,"")</f>
        <v/>
      </c>
      <c r="B34" s="50" t="str">
        <f>IF('DATI LOGICI'!B32&lt;&gt;"",'DATI LOGICI'!B32,"")</f>
        <v/>
      </c>
      <c r="C34" s="50" t="str">
        <f>IF('DATI LOGICI'!C32&lt;&gt;"",'DATI LOGICI'!C32,"")</f>
        <v/>
      </c>
      <c r="D34" s="50" t="str">
        <f>IF('DATI LOGICI'!D32&lt;&gt;"",'DATI LOGICI'!D32,"")</f>
        <v/>
      </c>
      <c r="E34" s="50" t="str">
        <f>IF('DATI LOGICI'!E32&lt;&gt;"",'DATI LOGICI'!E32,"")</f>
        <v/>
      </c>
      <c r="F34" s="50" t="str">
        <f>IF('DATI LOGICI'!F32&lt;&gt;"",'DATI LOGICI'!F32,"")</f>
        <v/>
      </c>
      <c r="G34" s="50" t="str">
        <f>IF('DATI LOGICI'!G32&lt;&gt;"",'DATI LOGICI'!G32,"")</f>
        <v/>
      </c>
      <c r="H34" s="50" t="str">
        <f>IF('DATI LOGICI'!H32&lt;&gt;"",'DATI LOGICI'!H32,"")</f>
        <v/>
      </c>
      <c r="I34" s="50" t="str">
        <f>IF('DATI LOGICI'!I32&lt;&gt;"",'DATI LOGICI'!I32,"")</f>
        <v/>
      </c>
    </row>
    <row r="35" spans="1:20" x14ac:dyDescent="0.25">
      <c r="A35" s="50" t="str">
        <f>IF('DATI LOGICI'!A33&lt;&gt;"",'DATI LOGICI'!A33,"")</f>
        <v/>
      </c>
      <c r="B35" s="50" t="str">
        <f>IF('DATI LOGICI'!B33&lt;&gt;"",'DATI LOGICI'!B33,"")</f>
        <v/>
      </c>
      <c r="C35" s="50" t="str">
        <f>IF('DATI LOGICI'!C33&lt;&gt;"",'DATI LOGICI'!C33,"")</f>
        <v/>
      </c>
      <c r="D35" s="50" t="str">
        <f>IF('DATI LOGICI'!D33&lt;&gt;"",'DATI LOGICI'!D33,"")</f>
        <v/>
      </c>
      <c r="E35" s="50" t="str">
        <f>IF('DATI LOGICI'!E33&lt;&gt;"",'DATI LOGICI'!E33,"")</f>
        <v/>
      </c>
      <c r="F35" s="50" t="str">
        <f>IF('DATI LOGICI'!F33&lt;&gt;"",'DATI LOGICI'!F33,"")</f>
        <v/>
      </c>
      <c r="G35" s="50" t="str">
        <f>IF('DATI LOGICI'!G33&lt;&gt;"",'DATI LOGICI'!G33,"")</f>
        <v/>
      </c>
      <c r="H35" s="50" t="str">
        <f>IF('DATI LOGICI'!H33&lt;&gt;"",'DATI LOGICI'!H33,"")</f>
        <v/>
      </c>
      <c r="I35" s="50" t="str">
        <f>IF('DATI LOGICI'!I33&lt;&gt;"",'DATI LOGICI'!I33,"")</f>
        <v/>
      </c>
    </row>
    <row r="36" spans="1:20" x14ac:dyDescent="0.25">
      <c r="A36" s="50" t="str">
        <f>IF('DATI LOGICI'!A34&lt;&gt;"",'DATI LOGICI'!A34,"")</f>
        <v/>
      </c>
      <c r="B36" s="50" t="str">
        <f>IF('DATI LOGICI'!B34&lt;&gt;"",'DATI LOGICI'!B34,"")</f>
        <v/>
      </c>
      <c r="C36" s="50" t="str">
        <f>IF('DATI LOGICI'!C34&lt;&gt;"",'DATI LOGICI'!C34,"")</f>
        <v/>
      </c>
      <c r="D36" s="50" t="str">
        <f>IF('DATI LOGICI'!D34&lt;&gt;"",'DATI LOGICI'!D34,"")</f>
        <v/>
      </c>
      <c r="E36" s="50" t="str">
        <f>IF('DATI LOGICI'!E34&lt;&gt;"",'DATI LOGICI'!E34,"")</f>
        <v/>
      </c>
      <c r="F36" s="50" t="str">
        <f>IF('DATI LOGICI'!F34&lt;&gt;"",'DATI LOGICI'!F34,"")</f>
        <v/>
      </c>
      <c r="G36" s="50" t="str">
        <f>IF('DATI LOGICI'!G34&lt;&gt;"",'DATI LOGICI'!G34,"")</f>
        <v/>
      </c>
      <c r="H36" s="50" t="str">
        <f>IF('DATI LOGICI'!H34&lt;&gt;"",'DATI LOGICI'!H34,"")</f>
        <v/>
      </c>
      <c r="I36" s="50" t="str">
        <f>IF('DATI LOGICI'!I34&lt;&gt;"",'DATI LOGICI'!I34,"")</f>
        <v/>
      </c>
    </row>
    <row r="37" spans="1:20" x14ac:dyDescent="0.25">
      <c r="A37" s="50" t="str">
        <f>IF('DATI LOGICI'!A35&lt;&gt;"",'DATI LOGICI'!A35,"")</f>
        <v/>
      </c>
      <c r="B37" s="50" t="str">
        <f>IF('DATI LOGICI'!B35&lt;&gt;"",'DATI LOGICI'!B35,"")</f>
        <v/>
      </c>
      <c r="C37" s="50" t="str">
        <f>IF('DATI LOGICI'!C35&lt;&gt;"",'DATI LOGICI'!C35,"")</f>
        <v/>
      </c>
      <c r="D37" s="50" t="str">
        <f>IF('DATI LOGICI'!D35&lt;&gt;"",'DATI LOGICI'!D35,"")</f>
        <v/>
      </c>
      <c r="E37" s="50" t="str">
        <f>IF('DATI LOGICI'!E35&lt;&gt;"",'DATI LOGICI'!E35,"")</f>
        <v/>
      </c>
      <c r="F37" s="50" t="str">
        <f>IF('DATI LOGICI'!F35&lt;&gt;"",'DATI LOGICI'!F35,"")</f>
        <v/>
      </c>
      <c r="G37" s="50" t="str">
        <f>IF('DATI LOGICI'!G35&lt;&gt;"",'DATI LOGICI'!G35,"")</f>
        <v/>
      </c>
      <c r="H37" s="50" t="str">
        <f>IF('DATI LOGICI'!H35&lt;&gt;"",'DATI LOGICI'!H35,"")</f>
        <v/>
      </c>
      <c r="I37" s="50" t="str">
        <f>IF('DATI LOGICI'!I35&lt;&gt;"",'DATI LOGICI'!I35,"")</f>
        <v/>
      </c>
    </row>
    <row r="38" spans="1:20" x14ac:dyDescent="0.25">
      <c r="A38" s="104" t="s">
        <v>497</v>
      </c>
      <c r="B38" s="105"/>
      <c r="C38" s="105"/>
      <c r="D38" s="105"/>
      <c r="E38" s="105"/>
      <c r="F38" s="105"/>
      <c r="G38" s="105"/>
      <c r="H38" s="105"/>
      <c r="I38" s="105"/>
      <c r="J38" s="106"/>
      <c r="K38" s="104"/>
      <c r="L38" s="105"/>
      <c r="M38" s="105"/>
      <c r="N38" s="105"/>
      <c r="O38" s="105"/>
      <c r="P38" s="105"/>
      <c r="Q38" s="105"/>
      <c r="R38" s="105"/>
      <c r="S38" s="105"/>
      <c r="T38" s="106"/>
    </row>
    <row r="39" spans="1:20" x14ac:dyDescent="0.25">
      <c r="A39" s="19" t="s">
        <v>137</v>
      </c>
      <c r="B39" s="3">
        <v>80</v>
      </c>
      <c r="C39" s="3">
        <v>0</v>
      </c>
      <c r="D39" s="3" t="s">
        <v>138</v>
      </c>
      <c r="E39" s="3"/>
      <c r="F39" s="3"/>
      <c r="G39" s="3"/>
      <c r="H39" s="3"/>
      <c r="I39" s="3" t="s">
        <v>104</v>
      </c>
      <c r="K39" s="3"/>
      <c r="L39" s="1"/>
      <c r="M39" s="1"/>
      <c r="N39" s="1"/>
      <c r="O39" s="1"/>
      <c r="P39" s="1"/>
      <c r="Q39" s="1"/>
      <c r="R39" s="1"/>
      <c r="S39" s="1"/>
      <c r="T39" s="1"/>
    </row>
    <row r="40" spans="1:20" x14ac:dyDescent="0.25">
      <c r="A40" s="19" t="s">
        <v>140</v>
      </c>
      <c r="B40" s="3">
        <v>80</v>
      </c>
      <c r="C40" s="3">
        <v>1</v>
      </c>
      <c r="D40" s="3" t="s">
        <v>141</v>
      </c>
      <c r="E40" s="3"/>
      <c r="F40" s="3">
        <v>0</v>
      </c>
      <c r="G40" s="3">
        <v>1</v>
      </c>
      <c r="H40" s="3"/>
      <c r="I40" s="3" t="s">
        <v>94</v>
      </c>
      <c r="K40" s="3" t="s">
        <v>142</v>
      </c>
      <c r="L40" s="1"/>
      <c r="M40" s="1"/>
      <c r="N40" s="1"/>
      <c r="O40" s="1"/>
      <c r="P40" s="1"/>
      <c r="Q40" s="1"/>
      <c r="R40" s="1"/>
      <c r="S40" s="1"/>
      <c r="T40" s="1"/>
    </row>
    <row r="41" spans="1:20" ht="71.25" x14ac:dyDescent="0.25">
      <c r="A41" s="19" t="s">
        <v>143</v>
      </c>
      <c r="B41" s="3">
        <v>80</v>
      </c>
      <c r="C41" s="3">
        <v>2</v>
      </c>
      <c r="D41" s="3" t="s">
        <v>144</v>
      </c>
      <c r="E41" s="3"/>
      <c r="F41" s="3">
        <v>0</v>
      </c>
      <c r="G41" s="3">
        <v>4</v>
      </c>
      <c r="H41" s="3"/>
      <c r="I41" s="3" t="s">
        <v>94</v>
      </c>
      <c r="K41" s="10" t="s">
        <v>145</v>
      </c>
      <c r="L41" s="1"/>
      <c r="M41" s="1" t="s">
        <v>146</v>
      </c>
      <c r="N41" s="1"/>
      <c r="O41" s="1"/>
      <c r="P41" s="1"/>
      <c r="Q41" s="1"/>
      <c r="R41" s="1"/>
      <c r="S41" s="1"/>
      <c r="T41" s="1"/>
    </row>
    <row r="42" spans="1:20" x14ac:dyDescent="0.25">
      <c r="A42" s="25" t="s">
        <v>147</v>
      </c>
      <c r="B42" s="3">
        <v>80</v>
      </c>
      <c r="C42" s="3">
        <v>3</v>
      </c>
      <c r="D42" s="3" t="s">
        <v>148</v>
      </c>
      <c r="E42" s="3"/>
      <c r="F42" s="3"/>
      <c r="G42" s="3"/>
      <c r="H42" s="3"/>
      <c r="I42" s="3" t="s">
        <v>94</v>
      </c>
      <c r="K42" s="3"/>
      <c r="L42" s="1"/>
      <c r="M42" s="1"/>
      <c r="N42" s="1"/>
      <c r="O42" s="1"/>
      <c r="P42" s="1"/>
      <c r="Q42" s="1"/>
      <c r="R42" s="1"/>
      <c r="S42" s="1"/>
      <c r="T42" s="1"/>
    </row>
    <row r="43" spans="1:20" x14ac:dyDescent="0.25">
      <c r="A43" s="25" t="s">
        <v>149</v>
      </c>
      <c r="B43" s="3">
        <f t="shared" ref="B43:B51" si="0">B40</f>
        <v>80</v>
      </c>
      <c r="C43" s="3">
        <f t="shared" ref="C43:C48" si="1">C42+1</f>
        <v>4</v>
      </c>
      <c r="D43" s="3" t="s">
        <v>148</v>
      </c>
      <c r="E43" s="3"/>
      <c r="F43" s="3"/>
      <c r="G43" s="3"/>
      <c r="H43" s="3"/>
      <c r="I43" s="3" t="s">
        <v>94</v>
      </c>
      <c r="K43" s="3"/>
      <c r="L43" s="21" t="s">
        <v>157</v>
      </c>
      <c r="M43" s="1"/>
      <c r="N43" s="1"/>
      <c r="O43" s="1"/>
      <c r="P43" s="1"/>
      <c r="Q43" s="1"/>
      <c r="R43" s="1"/>
      <c r="S43" s="1"/>
      <c r="T43" s="1"/>
    </row>
    <row r="44" spans="1:20" ht="30" x14ac:dyDescent="0.25">
      <c r="A44" s="25" t="s">
        <v>150</v>
      </c>
      <c r="B44" s="3">
        <f t="shared" si="0"/>
        <v>80</v>
      </c>
      <c r="C44" s="3">
        <f t="shared" si="1"/>
        <v>5</v>
      </c>
      <c r="D44" s="3" t="s">
        <v>141</v>
      </c>
      <c r="E44" s="3"/>
      <c r="F44" s="3"/>
      <c r="G44" s="3"/>
      <c r="H44" s="3"/>
      <c r="I44" s="3" t="s">
        <v>94</v>
      </c>
      <c r="J44" s="10" t="s">
        <v>494</v>
      </c>
      <c r="K44" s="3"/>
      <c r="L44" s="1"/>
      <c r="M44" s="1"/>
      <c r="N44" s="1"/>
      <c r="O44" s="1"/>
      <c r="P44" s="1"/>
      <c r="Q44" s="1"/>
      <c r="R44" s="1"/>
      <c r="S44" s="1"/>
      <c r="T44" s="1"/>
    </row>
    <row r="45" spans="1:20" x14ac:dyDescent="0.25">
      <c r="A45" s="25" t="s">
        <v>151</v>
      </c>
      <c r="B45" s="3">
        <f t="shared" si="0"/>
        <v>80</v>
      </c>
      <c r="C45" s="3">
        <f t="shared" si="1"/>
        <v>6</v>
      </c>
      <c r="D45" s="3" t="s">
        <v>148</v>
      </c>
      <c r="E45" s="3"/>
      <c r="F45" s="3"/>
      <c r="G45" s="3"/>
      <c r="H45" s="3"/>
      <c r="I45" s="3" t="s">
        <v>101</v>
      </c>
      <c r="K45" s="3"/>
      <c r="L45" s="21" t="s">
        <v>157</v>
      </c>
      <c r="M45" s="1"/>
      <c r="N45" s="1"/>
      <c r="O45" s="1"/>
      <c r="P45" s="1"/>
      <c r="Q45" s="1"/>
      <c r="R45" s="1"/>
      <c r="S45" s="1"/>
      <c r="T45" s="1"/>
    </row>
    <row r="46" spans="1:20" x14ac:dyDescent="0.25">
      <c r="A46" s="25" t="s">
        <v>152</v>
      </c>
      <c r="B46" s="3">
        <f t="shared" si="0"/>
        <v>80</v>
      </c>
      <c r="C46" s="3">
        <f t="shared" si="1"/>
        <v>7</v>
      </c>
      <c r="D46" s="3" t="s">
        <v>153</v>
      </c>
      <c r="E46" s="3"/>
      <c r="F46" s="3"/>
      <c r="G46" s="3"/>
      <c r="H46" s="3"/>
      <c r="I46" s="3" t="s">
        <v>101</v>
      </c>
      <c r="K46" s="3"/>
      <c r="L46" s="21" t="s">
        <v>157</v>
      </c>
      <c r="M46" s="1"/>
      <c r="N46" s="1"/>
      <c r="O46" s="1"/>
      <c r="P46" s="1"/>
      <c r="Q46" s="1"/>
      <c r="R46" s="1"/>
      <c r="S46" s="1"/>
      <c r="T46" s="1"/>
    </row>
    <row r="47" spans="1:20" x14ac:dyDescent="0.25">
      <c r="A47" s="25" t="s">
        <v>154</v>
      </c>
      <c r="B47" s="3">
        <f t="shared" si="0"/>
        <v>80</v>
      </c>
      <c r="C47" s="3">
        <f t="shared" si="1"/>
        <v>8</v>
      </c>
      <c r="D47" s="3" t="s">
        <v>148</v>
      </c>
      <c r="E47" s="3"/>
      <c r="F47" s="3"/>
      <c r="G47" s="3"/>
      <c r="H47" s="3"/>
      <c r="I47" s="3" t="s">
        <v>94</v>
      </c>
      <c r="K47" s="3"/>
      <c r="L47" s="1"/>
      <c r="M47" s="101" t="s">
        <v>155</v>
      </c>
      <c r="N47" s="101"/>
      <c r="O47" s="101"/>
      <c r="P47" s="101"/>
      <c r="Q47" s="101"/>
      <c r="R47" s="101"/>
      <c r="S47" s="101"/>
      <c r="T47" s="1"/>
    </row>
    <row r="48" spans="1:20" x14ac:dyDescent="0.25">
      <c r="A48" s="25" t="s">
        <v>156</v>
      </c>
      <c r="B48" s="3">
        <f t="shared" si="0"/>
        <v>80</v>
      </c>
      <c r="C48" s="3">
        <f t="shared" si="1"/>
        <v>9</v>
      </c>
      <c r="D48" s="3" t="s">
        <v>148</v>
      </c>
      <c r="E48" s="3"/>
      <c r="F48" s="3"/>
      <c r="G48" s="3"/>
      <c r="H48" s="3"/>
      <c r="I48" s="3" t="s">
        <v>94</v>
      </c>
      <c r="K48" s="3"/>
      <c r="L48" s="21" t="s">
        <v>157</v>
      </c>
      <c r="M48" s="101"/>
      <c r="N48" s="101"/>
      <c r="O48" s="101"/>
      <c r="P48" s="101"/>
      <c r="Q48" s="101"/>
      <c r="R48" s="101"/>
      <c r="S48" s="101"/>
      <c r="T48" s="1"/>
    </row>
    <row r="49" spans="1:20" x14ac:dyDescent="0.25">
      <c r="A49" s="25" t="s">
        <v>158</v>
      </c>
      <c r="B49" s="3">
        <f t="shared" si="0"/>
        <v>80</v>
      </c>
      <c r="C49" s="3" t="s">
        <v>55</v>
      </c>
      <c r="D49" s="3" t="s">
        <v>141</v>
      </c>
      <c r="E49" s="3"/>
      <c r="F49" s="3"/>
      <c r="G49" s="3"/>
      <c r="H49" s="3"/>
      <c r="I49" s="3" t="s">
        <v>94</v>
      </c>
      <c r="J49" s="3" t="s">
        <v>489</v>
      </c>
      <c r="K49" s="3"/>
      <c r="L49" s="1"/>
      <c r="M49" s="101"/>
      <c r="N49" s="101"/>
      <c r="O49" s="101"/>
      <c r="P49" s="101"/>
      <c r="Q49" s="101"/>
      <c r="R49" s="101"/>
      <c r="S49" s="101"/>
      <c r="T49" s="1"/>
    </row>
    <row r="50" spans="1:20" x14ac:dyDescent="0.25">
      <c r="A50" s="25" t="s">
        <v>159</v>
      </c>
      <c r="B50" s="3">
        <f t="shared" si="0"/>
        <v>80</v>
      </c>
      <c r="C50" s="3" t="s">
        <v>57</v>
      </c>
      <c r="D50" s="3" t="s">
        <v>148</v>
      </c>
      <c r="E50" s="3"/>
      <c r="F50" s="3"/>
      <c r="G50" s="3"/>
      <c r="H50" s="3"/>
      <c r="I50" s="3" t="s">
        <v>101</v>
      </c>
      <c r="J50" s="3" t="s">
        <v>489</v>
      </c>
      <c r="K50" s="3"/>
      <c r="L50" s="21" t="s">
        <v>157</v>
      </c>
      <c r="M50" s="101"/>
      <c r="N50" s="101"/>
      <c r="O50" s="101"/>
      <c r="P50" s="101"/>
      <c r="Q50" s="101"/>
      <c r="R50" s="101"/>
      <c r="S50" s="101"/>
      <c r="T50" s="1"/>
    </row>
    <row r="51" spans="1:20" x14ac:dyDescent="0.25">
      <c r="A51" s="25" t="s">
        <v>160</v>
      </c>
      <c r="B51" s="3">
        <f t="shared" si="0"/>
        <v>80</v>
      </c>
      <c r="C51" s="3" t="s">
        <v>58</v>
      </c>
      <c r="D51" s="3" t="s">
        <v>153</v>
      </c>
      <c r="E51" s="3"/>
      <c r="F51" s="3"/>
      <c r="G51" s="3"/>
      <c r="H51" s="3"/>
      <c r="I51" s="3" t="s">
        <v>101</v>
      </c>
      <c r="J51" s="3" t="s">
        <v>489</v>
      </c>
      <c r="K51" s="3"/>
      <c r="L51" s="21" t="s">
        <v>157</v>
      </c>
      <c r="M51" s="101"/>
      <c r="N51" s="101"/>
      <c r="O51" s="101"/>
      <c r="P51" s="101"/>
      <c r="Q51" s="101"/>
      <c r="R51" s="101"/>
      <c r="S51" s="101"/>
      <c r="T51" s="1"/>
    </row>
    <row r="52" spans="1:20" x14ac:dyDescent="0.25">
      <c r="A52" s="25" t="s">
        <v>161</v>
      </c>
      <c r="B52" s="3">
        <v>80</v>
      </c>
      <c r="C52" s="3" t="s">
        <v>60</v>
      </c>
      <c r="D52" s="3" t="s">
        <v>148</v>
      </c>
      <c r="E52" s="3"/>
      <c r="F52" s="3"/>
      <c r="G52" s="3"/>
      <c r="H52" s="3"/>
      <c r="I52" s="3" t="s">
        <v>94</v>
      </c>
      <c r="J52" s="3" t="s">
        <v>489</v>
      </c>
      <c r="K52" s="3"/>
      <c r="L52" s="1"/>
      <c r="M52" s="101"/>
      <c r="N52" s="101"/>
      <c r="O52" s="101"/>
      <c r="P52" s="101"/>
      <c r="Q52" s="101"/>
      <c r="R52" s="101"/>
      <c r="S52" s="101"/>
      <c r="T52" s="1"/>
    </row>
    <row r="53" spans="1:20" x14ac:dyDescent="0.25">
      <c r="A53" s="25" t="s">
        <v>162</v>
      </c>
      <c r="B53" s="3">
        <v>80</v>
      </c>
      <c r="C53" s="3" t="s">
        <v>64</v>
      </c>
      <c r="D53" s="3" t="s">
        <v>148</v>
      </c>
      <c r="E53" s="3"/>
      <c r="F53" s="3"/>
      <c r="G53" s="3"/>
      <c r="H53" s="3"/>
      <c r="I53" s="3" t="s">
        <v>94</v>
      </c>
      <c r="K53" s="3"/>
      <c r="L53" s="21" t="s">
        <v>157</v>
      </c>
      <c r="M53" s="101"/>
      <c r="N53" s="101"/>
      <c r="O53" s="101"/>
      <c r="P53" s="101"/>
      <c r="Q53" s="101"/>
      <c r="R53" s="101"/>
      <c r="S53" s="101"/>
      <c r="T53" s="1"/>
    </row>
    <row r="54" spans="1:20" x14ac:dyDescent="0.25">
      <c r="A54" s="25" t="s">
        <v>163</v>
      </c>
      <c r="B54" s="3">
        <v>80</v>
      </c>
      <c r="C54" s="3" t="s">
        <v>66</v>
      </c>
      <c r="D54" s="3" t="s">
        <v>141</v>
      </c>
      <c r="E54" s="3"/>
      <c r="F54" s="3"/>
      <c r="G54" s="3"/>
      <c r="H54" s="3"/>
      <c r="I54" s="3" t="s">
        <v>94</v>
      </c>
      <c r="K54" s="3"/>
      <c r="L54" s="1"/>
      <c r="M54" s="101"/>
      <c r="N54" s="101"/>
      <c r="O54" s="101"/>
      <c r="P54" s="101"/>
      <c r="Q54" s="101"/>
      <c r="R54" s="101"/>
      <c r="S54" s="101"/>
      <c r="T54" s="1"/>
    </row>
    <row r="55" spans="1:20" x14ac:dyDescent="0.25">
      <c r="A55" s="25" t="s">
        <v>164</v>
      </c>
      <c r="B55" s="3">
        <v>80</v>
      </c>
      <c r="C55" s="3">
        <v>10</v>
      </c>
      <c r="D55" s="3" t="s">
        <v>148</v>
      </c>
      <c r="E55" s="3"/>
      <c r="F55" s="3"/>
      <c r="G55" s="3"/>
      <c r="H55" s="3"/>
      <c r="I55" s="3" t="s">
        <v>101</v>
      </c>
      <c r="K55" s="3"/>
      <c r="L55" s="21" t="s">
        <v>157</v>
      </c>
      <c r="M55" s="101"/>
      <c r="N55" s="101"/>
      <c r="O55" s="101"/>
      <c r="P55" s="101"/>
      <c r="Q55" s="101"/>
      <c r="R55" s="101"/>
      <c r="S55" s="101"/>
      <c r="T55" s="1"/>
    </row>
    <row r="56" spans="1:20" x14ac:dyDescent="0.25">
      <c r="A56" s="25" t="s">
        <v>165</v>
      </c>
      <c r="B56" s="3">
        <v>80</v>
      </c>
      <c r="C56" s="3">
        <f t="shared" ref="C56:C64" si="2">C55+1</f>
        <v>11</v>
      </c>
      <c r="D56" s="3" t="s">
        <v>166</v>
      </c>
      <c r="E56" s="3"/>
      <c r="F56" s="3"/>
      <c r="G56" s="3"/>
      <c r="H56" s="3"/>
      <c r="I56" s="3" t="s">
        <v>101</v>
      </c>
      <c r="K56" s="3"/>
      <c r="L56" s="21" t="s">
        <v>157</v>
      </c>
      <c r="M56" s="101"/>
      <c r="N56" s="101"/>
      <c r="O56" s="101"/>
      <c r="P56" s="101"/>
      <c r="Q56" s="101"/>
      <c r="R56" s="101"/>
      <c r="S56" s="101"/>
      <c r="T56" s="1"/>
    </row>
    <row r="57" spans="1:20" x14ac:dyDescent="0.25">
      <c r="A57" s="25" t="s">
        <v>167</v>
      </c>
      <c r="B57" s="3">
        <v>80</v>
      </c>
      <c r="C57" s="3">
        <f t="shared" si="2"/>
        <v>12</v>
      </c>
      <c r="D57" s="3" t="s">
        <v>148</v>
      </c>
      <c r="E57" s="3"/>
      <c r="F57" s="3"/>
      <c r="G57" s="3"/>
      <c r="H57" s="3"/>
      <c r="I57" s="3" t="s">
        <v>94</v>
      </c>
      <c r="K57" s="3"/>
      <c r="L57" s="1"/>
      <c r="M57" s="101"/>
      <c r="N57" s="101"/>
      <c r="O57" s="101"/>
      <c r="P57" s="101"/>
      <c r="Q57" s="101"/>
      <c r="R57" s="101"/>
      <c r="S57" s="101"/>
      <c r="T57" s="1"/>
    </row>
    <row r="58" spans="1:20" x14ac:dyDescent="0.25">
      <c r="A58" s="19" t="s">
        <v>168</v>
      </c>
      <c r="B58" s="3">
        <v>80</v>
      </c>
      <c r="C58" s="3">
        <f t="shared" si="2"/>
        <v>13</v>
      </c>
      <c r="D58" s="3" t="s">
        <v>93</v>
      </c>
      <c r="E58" s="3"/>
      <c r="F58" s="3"/>
      <c r="G58" s="3"/>
      <c r="H58" s="3"/>
      <c r="I58" s="3" t="s">
        <v>94</v>
      </c>
      <c r="K58" s="3"/>
      <c r="L58" s="1"/>
      <c r="M58" s="1"/>
      <c r="N58" s="1"/>
      <c r="O58" s="1"/>
      <c r="P58" s="1"/>
      <c r="Q58" s="1"/>
      <c r="R58" s="1"/>
      <c r="S58" s="1"/>
      <c r="T58" s="1"/>
    </row>
    <row r="59" spans="1:20" x14ac:dyDescent="0.25">
      <c r="A59" s="25" t="s">
        <v>169</v>
      </c>
      <c r="B59" s="3">
        <v>80</v>
      </c>
      <c r="C59" s="3">
        <f t="shared" si="2"/>
        <v>14</v>
      </c>
      <c r="D59" s="3" t="s">
        <v>100</v>
      </c>
      <c r="E59" s="3"/>
      <c r="F59" s="3"/>
      <c r="G59" s="3"/>
      <c r="H59" s="3"/>
      <c r="I59" s="3" t="s">
        <v>101</v>
      </c>
      <c r="K59" s="3"/>
      <c r="L59" s="21" t="s">
        <v>157</v>
      </c>
      <c r="M59" s="1" t="s">
        <v>170</v>
      </c>
      <c r="N59" s="1"/>
      <c r="O59" s="1"/>
      <c r="P59" s="1"/>
      <c r="Q59" s="1"/>
      <c r="R59" s="1"/>
      <c r="S59" s="1"/>
      <c r="T59" s="1"/>
    </row>
    <row r="60" spans="1:20" x14ac:dyDescent="0.25">
      <c r="A60" s="25" t="s">
        <v>171</v>
      </c>
      <c r="B60" s="3">
        <v>80</v>
      </c>
      <c r="C60" s="3">
        <f t="shared" si="2"/>
        <v>15</v>
      </c>
      <c r="D60" s="3" t="s">
        <v>100</v>
      </c>
      <c r="E60" s="3"/>
      <c r="F60" s="3"/>
      <c r="G60" s="3"/>
      <c r="H60" s="3"/>
      <c r="I60" s="3" t="s">
        <v>101</v>
      </c>
      <c r="K60" s="3"/>
      <c r="L60" s="21" t="s">
        <v>157</v>
      </c>
      <c r="M60" s="1" t="s">
        <v>172</v>
      </c>
      <c r="N60" s="1"/>
      <c r="O60" s="1"/>
      <c r="P60" s="1"/>
      <c r="Q60" s="1"/>
      <c r="R60" s="1"/>
      <c r="S60" s="1"/>
      <c r="T60" s="1"/>
    </row>
    <row r="61" spans="1:20" x14ac:dyDescent="0.25">
      <c r="A61" s="25" t="s">
        <v>173</v>
      </c>
      <c r="B61" s="3">
        <v>80</v>
      </c>
      <c r="C61" s="3">
        <f t="shared" si="2"/>
        <v>16</v>
      </c>
      <c r="D61" s="3" t="s">
        <v>93</v>
      </c>
      <c r="E61" s="3"/>
      <c r="F61" s="3"/>
      <c r="G61" s="3"/>
      <c r="H61" s="3"/>
      <c r="I61" s="3" t="s">
        <v>101</v>
      </c>
      <c r="K61" s="3"/>
      <c r="L61" s="1"/>
      <c r="M61" s="1"/>
      <c r="N61" s="1"/>
      <c r="O61" s="1"/>
      <c r="P61" s="1"/>
      <c r="Q61" s="1"/>
      <c r="R61" s="1"/>
      <c r="S61" s="1"/>
      <c r="T61" s="1"/>
    </row>
    <row r="62" spans="1:20" x14ac:dyDescent="0.25">
      <c r="A62" s="25" t="s">
        <v>174</v>
      </c>
      <c r="B62" s="3">
        <v>80</v>
      </c>
      <c r="C62" s="3">
        <f t="shared" si="2"/>
        <v>17</v>
      </c>
      <c r="D62" s="3" t="s">
        <v>166</v>
      </c>
      <c r="E62" s="3"/>
      <c r="F62" s="3"/>
      <c r="G62" s="3"/>
      <c r="H62" s="3"/>
      <c r="I62" s="3" t="s">
        <v>101</v>
      </c>
      <c r="K62" s="3"/>
      <c r="L62" s="1"/>
      <c r="M62" s="1" t="s">
        <v>175</v>
      </c>
      <c r="N62" s="1"/>
      <c r="O62" s="1"/>
      <c r="P62" s="1"/>
      <c r="Q62" s="1"/>
      <c r="R62" s="1"/>
      <c r="S62" s="1"/>
      <c r="T62" s="1"/>
    </row>
    <row r="63" spans="1:20" x14ac:dyDescent="0.25">
      <c r="B63" s="3">
        <v>80</v>
      </c>
      <c r="C63" s="3">
        <f t="shared" si="2"/>
        <v>18</v>
      </c>
    </row>
    <row r="64" spans="1:20" x14ac:dyDescent="0.25">
      <c r="B64" s="3">
        <v>80</v>
      </c>
      <c r="C64" s="3">
        <f t="shared" si="2"/>
        <v>19</v>
      </c>
    </row>
    <row r="65" spans="1:20" x14ac:dyDescent="0.25">
      <c r="B65" s="3">
        <v>80</v>
      </c>
      <c r="C65" s="50" t="s">
        <v>345</v>
      </c>
    </row>
    <row r="66" spans="1:20" x14ac:dyDescent="0.25">
      <c r="B66" s="3">
        <v>80</v>
      </c>
      <c r="C66" s="50" t="s">
        <v>498</v>
      </c>
    </row>
    <row r="67" spans="1:20" x14ac:dyDescent="0.25">
      <c r="B67" s="3">
        <v>80</v>
      </c>
      <c r="C67" s="50" t="s">
        <v>499</v>
      </c>
    </row>
    <row r="68" spans="1:20" x14ac:dyDescent="0.25">
      <c r="B68" s="3">
        <v>80</v>
      </c>
      <c r="C68" s="50" t="s">
        <v>500</v>
      </c>
    </row>
    <row r="69" spans="1:20" x14ac:dyDescent="0.25">
      <c r="B69" s="3"/>
    </row>
    <row r="70" spans="1:20" x14ac:dyDescent="0.25">
      <c r="B70" s="3"/>
    </row>
    <row r="71" spans="1:20" x14ac:dyDescent="0.25">
      <c r="A71" s="25" t="s">
        <v>176</v>
      </c>
      <c r="B71" s="3">
        <v>80</v>
      </c>
      <c r="C71" s="3" t="s">
        <v>177</v>
      </c>
      <c r="D71" s="3" t="s">
        <v>132</v>
      </c>
      <c r="E71" s="3"/>
      <c r="F71" s="3"/>
      <c r="G71" s="3"/>
      <c r="H71" s="3"/>
      <c r="I71" s="3" t="s">
        <v>101</v>
      </c>
      <c r="K71" s="1"/>
      <c r="L71" s="1"/>
      <c r="M71" s="1"/>
      <c r="N71" s="1"/>
      <c r="O71" s="1"/>
      <c r="P71" s="1"/>
      <c r="Q71" s="1"/>
      <c r="R71" s="1"/>
      <c r="S71" s="1"/>
      <c r="T71" s="1"/>
    </row>
    <row r="72" spans="1:20" x14ac:dyDescent="0.25">
      <c r="A72" s="25" t="s">
        <v>179</v>
      </c>
      <c r="B72" s="3">
        <v>80</v>
      </c>
      <c r="C72" s="3" t="s">
        <v>180</v>
      </c>
      <c r="D72" s="3" t="s">
        <v>138</v>
      </c>
      <c r="E72" s="3"/>
      <c r="F72" s="3"/>
      <c r="G72" s="3"/>
      <c r="H72" s="3"/>
      <c r="I72" s="3" t="s">
        <v>94</v>
      </c>
      <c r="K72" s="1"/>
      <c r="L72" s="1"/>
      <c r="M72" s="1"/>
      <c r="N72" s="1"/>
      <c r="O72" s="1"/>
      <c r="P72" s="1"/>
      <c r="Q72" s="1"/>
      <c r="R72" s="1"/>
      <c r="S72" s="1"/>
      <c r="T72" s="1"/>
    </row>
    <row r="73" spans="1:20" x14ac:dyDescent="0.25">
      <c r="A73" s="25" t="s">
        <v>182</v>
      </c>
      <c r="B73" s="3">
        <v>80</v>
      </c>
      <c r="C73" s="3">
        <v>30</v>
      </c>
      <c r="D73" s="3" t="s">
        <v>138</v>
      </c>
      <c r="E73" s="3"/>
      <c r="F73" s="3"/>
      <c r="G73" s="3"/>
      <c r="H73" s="3"/>
      <c r="I73" s="3" t="s">
        <v>94</v>
      </c>
      <c r="K73" s="3"/>
      <c r="L73" s="1"/>
      <c r="M73" s="1"/>
      <c r="N73" s="1"/>
      <c r="O73" s="1"/>
      <c r="P73" s="1"/>
      <c r="Q73" s="1"/>
      <c r="R73" s="1"/>
      <c r="S73" s="1"/>
      <c r="T73" s="1"/>
    </row>
    <row r="74" spans="1:20" x14ac:dyDescent="0.25">
      <c r="A74" s="19" t="s">
        <v>205</v>
      </c>
      <c r="B74" s="3">
        <v>80</v>
      </c>
      <c r="C74" s="3">
        <v>31</v>
      </c>
      <c r="D74" s="3" t="s">
        <v>93</v>
      </c>
      <c r="E74" s="3"/>
      <c r="F74" s="3"/>
      <c r="G74" s="3"/>
      <c r="H74" s="3"/>
      <c r="I74" s="3" t="s">
        <v>94</v>
      </c>
      <c r="K74" s="3"/>
      <c r="L74" s="1"/>
      <c r="M74" s="1"/>
      <c r="N74" s="1"/>
      <c r="O74" s="1"/>
      <c r="P74" s="1"/>
      <c r="Q74" s="1"/>
      <c r="R74" s="1"/>
      <c r="S74" s="1"/>
      <c r="T74" s="1"/>
    </row>
    <row r="75" spans="1:20" x14ac:dyDescent="0.25">
      <c r="A75" s="19" t="s">
        <v>184</v>
      </c>
      <c r="B75" s="3">
        <v>80</v>
      </c>
      <c r="C75" s="3">
        <v>32</v>
      </c>
      <c r="D75" s="3" t="s">
        <v>166</v>
      </c>
      <c r="E75" s="3"/>
      <c r="F75" s="3"/>
      <c r="G75" s="3"/>
      <c r="H75" s="3"/>
      <c r="I75" s="3" t="s">
        <v>94</v>
      </c>
      <c r="K75" s="3" t="s">
        <v>130</v>
      </c>
      <c r="L75" s="1"/>
      <c r="M75" s="1"/>
      <c r="N75" s="1"/>
      <c r="O75" s="1"/>
      <c r="P75" s="1"/>
      <c r="Q75" s="1"/>
      <c r="R75" s="1"/>
      <c r="S75" s="1"/>
      <c r="T75" s="1"/>
    </row>
    <row r="76" spans="1:20" x14ac:dyDescent="0.25">
      <c r="A76" s="19" t="s">
        <v>185</v>
      </c>
      <c r="B76" s="3">
        <v>80</v>
      </c>
      <c r="C76" s="3">
        <v>33</v>
      </c>
      <c r="D76" s="3" t="s">
        <v>166</v>
      </c>
      <c r="E76" s="3"/>
      <c r="F76" s="3"/>
      <c r="G76" s="3"/>
      <c r="H76" s="3"/>
      <c r="I76" s="3" t="s">
        <v>94</v>
      </c>
      <c r="K76" s="3"/>
      <c r="L76" s="1"/>
      <c r="M76" s="1"/>
      <c r="N76" s="1"/>
      <c r="O76" s="1"/>
      <c r="P76" s="1"/>
      <c r="Q76" s="1"/>
      <c r="R76" s="1"/>
      <c r="S76" s="1"/>
      <c r="T76" s="1"/>
    </row>
    <row r="77" spans="1:20" x14ac:dyDescent="0.25">
      <c r="A77" s="19" t="s">
        <v>186</v>
      </c>
      <c r="B77" s="3">
        <v>80</v>
      </c>
      <c r="C77" s="3">
        <v>34</v>
      </c>
      <c r="D77" s="3" t="s">
        <v>166</v>
      </c>
      <c r="E77" s="3"/>
      <c r="F77" s="3"/>
      <c r="G77" s="3"/>
      <c r="H77" s="3"/>
      <c r="I77" s="3" t="s">
        <v>94</v>
      </c>
      <c r="K77" s="97"/>
      <c r="L77" s="97"/>
      <c r="M77" s="97"/>
      <c r="N77" s="97"/>
      <c r="O77" s="97"/>
      <c r="P77" s="97"/>
      <c r="Q77" s="97"/>
      <c r="R77" s="97"/>
      <c r="S77" s="97"/>
      <c r="T77" s="97"/>
    </row>
    <row r="78" spans="1:20" ht="60" x14ac:dyDescent="0.25">
      <c r="A78" s="25" t="s">
        <v>187</v>
      </c>
      <c r="B78" s="3">
        <v>80</v>
      </c>
      <c r="C78" s="3">
        <v>35</v>
      </c>
      <c r="D78" s="3" t="s">
        <v>166</v>
      </c>
      <c r="E78" s="3"/>
      <c r="F78" s="3"/>
      <c r="G78" s="3"/>
      <c r="H78" s="3"/>
      <c r="I78" s="3" t="s">
        <v>94</v>
      </c>
      <c r="K78" s="10" t="s">
        <v>178</v>
      </c>
      <c r="L78" s="21" t="s">
        <v>206</v>
      </c>
      <c r="M78" s="1" t="s">
        <v>207</v>
      </c>
      <c r="N78" s="1"/>
      <c r="O78" s="1"/>
      <c r="P78" s="1"/>
      <c r="Q78" s="1"/>
      <c r="R78" s="1"/>
      <c r="S78" s="1"/>
      <c r="T78" s="1"/>
    </row>
    <row r="79" spans="1:20" x14ac:dyDescent="0.25">
      <c r="A79" s="25" t="s">
        <v>202</v>
      </c>
      <c r="B79" s="3">
        <v>80</v>
      </c>
      <c r="C79" s="3">
        <v>36</v>
      </c>
      <c r="D79" s="3" t="s">
        <v>100</v>
      </c>
      <c r="E79" s="3"/>
      <c r="F79" s="3"/>
      <c r="G79" s="3"/>
      <c r="H79" s="3"/>
      <c r="I79" s="3" t="s">
        <v>101</v>
      </c>
      <c r="K79" s="3" t="s">
        <v>181</v>
      </c>
      <c r="L79" s="1"/>
      <c r="M79" s="1" t="s">
        <v>208</v>
      </c>
      <c r="N79" s="1"/>
      <c r="O79" s="1"/>
      <c r="P79" s="1"/>
      <c r="Q79" s="1"/>
      <c r="R79" s="1"/>
      <c r="S79" s="1"/>
      <c r="T79" s="1"/>
    </row>
    <row r="80" spans="1:20" x14ac:dyDescent="0.25">
      <c r="A80" s="19" t="s">
        <v>209</v>
      </c>
      <c r="B80" s="3">
        <v>80</v>
      </c>
      <c r="C80" s="3">
        <v>37</v>
      </c>
      <c r="D80" s="3" t="s">
        <v>141</v>
      </c>
      <c r="E80" s="3"/>
      <c r="F80" s="3"/>
      <c r="G80" s="3"/>
      <c r="H80" s="3"/>
      <c r="I80" s="3" t="s">
        <v>101</v>
      </c>
      <c r="K80" s="3" t="s">
        <v>210</v>
      </c>
      <c r="L80" s="1"/>
      <c r="M80" s="1" t="s">
        <v>211</v>
      </c>
      <c r="N80" s="1"/>
      <c r="O80" s="1"/>
      <c r="P80" s="1"/>
      <c r="Q80" s="1"/>
      <c r="R80" s="1"/>
      <c r="S80" s="1"/>
      <c r="T80" s="1"/>
    </row>
    <row r="81" spans="1:20" x14ac:dyDescent="0.25">
      <c r="A81" s="3"/>
      <c r="B81" s="3"/>
      <c r="C81" s="3"/>
      <c r="D81" s="3"/>
      <c r="E81" s="3"/>
      <c r="F81" s="3"/>
      <c r="G81" s="3"/>
      <c r="H81" s="3"/>
      <c r="I81" s="3"/>
      <c r="K81" s="3" t="s">
        <v>212</v>
      </c>
      <c r="L81" s="1"/>
      <c r="M81" s="1" t="s">
        <v>213</v>
      </c>
      <c r="N81" s="1"/>
      <c r="O81" s="1"/>
      <c r="P81" s="1"/>
      <c r="Q81" s="1"/>
      <c r="R81" s="1"/>
      <c r="S81" s="1"/>
      <c r="T81" s="1"/>
    </row>
    <row r="82" spans="1:20" x14ac:dyDescent="0.25">
      <c r="A82" s="3"/>
      <c r="B82" s="3"/>
      <c r="C82" s="3"/>
      <c r="D82" s="3"/>
      <c r="E82" s="3"/>
      <c r="F82" s="3"/>
      <c r="G82" s="3"/>
      <c r="H82" s="3"/>
      <c r="I82" s="3"/>
      <c r="K82" s="3"/>
      <c r="L82" s="21" t="s">
        <v>117</v>
      </c>
      <c r="M82" s="1"/>
      <c r="N82" s="1"/>
      <c r="O82" s="1"/>
      <c r="P82" s="1"/>
      <c r="Q82" s="1"/>
      <c r="R82" s="1"/>
      <c r="S82" s="1"/>
      <c r="T82" s="1"/>
    </row>
    <row r="83" spans="1:20" x14ac:dyDescent="0.25">
      <c r="A83" s="3"/>
      <c r="B83" s="3"/>
      <c r="C83" s="3"/>
      <c r="D83" s="3"/>
      <c r="E83" s="3"/>
      <c r="F83" s="3"/>
      <c r="G83" s="3"/>
      <c r="H83" s="3"/>
      <c r="I83" s="3"/>
      <c r="K83" s="3"/>
      <c r="L83" s="21" t="s">
        <v>117</v>
      </c>
      <c r="M83" s="1"/>
      <c r="N83" s="1"/>
      <c r="O83" s="1"/>
      <c r="P83" s="1"/>
      <c r="Q83" s="1"/>
      <c r="R83" s="1"/>
      <c r="S83" s="1"/>
      <c r="T83" s="1"/>
    </row>
    <row r="84" spans="1:20" x14ac:dyDescent="0.25">
      <c r="A84" s="3"/>
      <c r="B84" s="3"/>
      <c r="C84" s="3"/>
      <c r="D84" s="3"/>
      <c r="E84" s="3"/>
      <c r="F84" s="3"/>
      <c r="G84" s="3"/>
      <c r="H84" s="3"/>
      <c r="I84" s="3"/>
      <c r="K84" s="3"/>
      <c r="L84" s="21" t="s">
        <v>117</v>
      </c>
      <c r="M84" s="1"/>
      <c r="N84" s="1"/>
      <c r="O84" s="1"/>
      <c r="P84" s="1"/>
      <c r="Q84" s="1"/>
      <c r="R84" s="1"/>
      <c r="S84" s="1"/>
      <c r="T84" s="1"/>
    </row>
    <row r="85" spans="1:20" x14ac:dyDescent="0.25">
      <c r="A85" s="3"/>
      <c r="B85" s="3"/>
      <c r="C85" s="3"/>
      <c r="D85" s="3"/>
      <c r="E85" s="3"/>
      <c r="F85" s="3"/>
      <c r="G85" s="3"/>
      <c r="H85" s="3"/>
      <c r="I85" s="3"/>
      <c r="K85" s="3"/>
      <c r="L85" s="21" t="s">
        <v>117</v>
      </c>
      <c r="M85" s="1"/>
      <c r="N85" s="1"/>
      <c r="O85" s="1"/>
      <c r="P85" s="1"/>
      <c r="Q85" s="1"/>
      <c r="R85" s="1"/>
      <c r="S85" s="1"/>
      <c r="T85" s="1"/>
    </row>
    <row r="86" spans="1:20" x14ac:dyDescent="0.25">
      <c r="A86" s="3"/>
      <c r="B86" s="3"/>
      <c r="C86" s="3"/>
      <c r="D86" s="3"/>
      <c r="E86" s="3"/>
      <c r="F86" s="3"/>
      <c r="G86" s="3"/>
      <c r="H86" s="3"/>
      <c r="I86" s="3"/>
      <c r="K86" s="10"/>
      <c r="L86" s="21" t="s">
        <v>117</v>
      </c>
      <c r="M86" s="1"/>
      <c r="N86" s="1"/>
      <c r="O86" s="1"/>
      <c r="P86" s="1"/>
      <c r="Q86" s="1"/>
      <c r="R86" s="1"/>
      <c r="S86" s="1"/>
      <c r="T86" s="1"/>
    </row>
  </sheetData>
  <mergeCells count="8">
    <mergeCell ref="K77:T77"/>
    <mergeCell ref="K38:T38"/>
    <mergeCell ref="M47:S57"/>
    <mergeCell ref="A1:J1"/>
    <mergeCell ref="A4:J4"/>
    <mergeCell ref="K4:T4"/>
    <mergeCell ref="B3:C3"/>
    <mergeCell ref="A38:J38"/>
  </mergeCell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84"/>
  <sheetViews>
    <sheetView zoomScale="80" zoomScaleNormal="80" workbookViewId="0">
      <pane ySplit="3" topLeftCell="A4" activePane="bottomLeft" state="frozen"/>
      <selection pane="bottomLeft" activeCell="A47" sqref="A47"/>
    </sheetView>
  </sheetViews>
  <sheetFormatPr defaultColWidth="8.5703125" defaultRowHeight="15" x14ac:dyDescent="0.25"/>
  <cols>
    <col min="1" max="1" width="52.7109375" customWidth="1"/>
    <col min="2" max="2" width="17" customWidth="1"/>
    <col min="3" max="3" width="16.5703125" customWidth="1"/>
    <col min="4" max="4" width="44.85546875" customWidth="1"/>
    <col min="5" max="5" width="10.28515625" customWidth="1"/>
    <col min="6" max="6" width="8.7109375" customWidth="1"/>
    <col min="7" max="7" width="10" customWidth="1"/>
    <col min="8" max="8" width="17.5703125" customWidth="1"/>
    <col min="9" max="9" width="4.7109375" customWidth="1"/>
    <col min="10" max="10" width="47" customWidth="1"/>
    <col min="11" max="11" width="47.140625" customWidth="1"/>
  </cols>
  <sheetData>
    <row r="1" spans="1:21" x14ac:dyDescent="0.25">
      <c r="A1" s="100" t="s">
        <v>780</v>
      </c>
      <c r="B1" s="100"/>
      <c r="C1" s="100"/>
      <c r="D1" s="100"/>
      <c r="E1" s="100"/>
      <c r="F1" s="100"/>
      <c r="G1" s="100"/>
      <c r="H1" s="100"/>
      <c r="I1" s="100"/>
      <c r="J1" s="100"/>
    </row>
    <row r="2" spans="1:21" x14ac:dyDescent="0.25">
      <c r="A2" s="3" t="s">
        <v>861</v>
      </c>
      <c r="B2" s="1"/>
      <c r="C2" s="1"/>
      <c r="D2" s="1"/>
      <c r="E2" s="1"/>
      <c r="F2" s="1"/>
      <c r="G2" s="1"/>
      <c r="H2" s="1"/>
      <c r="I2" s="1"/>
      <c r="J2" s="3"/>
    </row>
    <row r="3" spans="1:21" x14ac:dyDescent="0.25">
      <c r="A3" s="14" t="s">
        <v>860</v>
      </c>
      <c r="B3" s="5" t="s">
        <v>81</v>
      </c>
      <c r="C3" s="5" t="s">
        <v>82</v>
      </c>
      <c r="D3" s="2" t="s">
        <v>83</v>
      </c>
      <c r="E3" s="15" t="s">
        <v>84</v>
      </c>
      <c r="F3" s="16" t="s">
        <v>85</v>
      </c>
      <c r="G3" s="16" t="s">
        <v>86</v>
      </c>
      <c r="H3" s="17" t="s">
        <v>87</v>
      </c>
      <c r="I3" s="18" t="s">
        <v>88</v>
      </c>
      <c r="J3" s="3" t="s">
        <v>135</v>
      </c>
      <c r="K3" s="1"/>
      <c r="L3" s="1"/>
      <c r="M3" s="1"/>
      <c r="N3" s="1"/>
      <c r="O3" s="1"/>
      <c r="P3" s="1"/>
      <c r="Q3" s="1"/>
      <c r="R3" s="1"/>
      <c r="S3" s="1"/>
    </row>
    <row r="4" spans="1:21" x14ac:dyDescent="0.25">
      <c r="A4" s="43" t="s">
        <v>89</v>
      </c>
      <c r="B4" s="60"/>
      <c r="C4" s="60"/>
      <c r="D4" s="60"/>
      <c r="E4" s="60"/>
      <c r="F4" s="60"/>
      <c r="G4" s="60"/>
      <c r="H4" s="60"/>
      <c r="I4" s="60"/>
      <c r="J4" s="82"/>
      <c r="K4" s="104"/>
      <c r="L4" s="105"/>
      <c r="M4" s="105"/>
      <c r="N4" s="105"/>
      <c r="O4" s="105"/>
      <c r="P4" s="105"/>
      <c r="Q4" s="105"/>
      <c r="R4" s="105"/>
      <c r="S4" s="105"/>
      <c r="T4" s="106"/>
      <c r="U4" s="88"/>
    </row>
    <row r="5" spans="1:21" x14ac:dyDescent="0.25">
      <c r="A5" s="41"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c r="L5" s="3"/>
      <c r="M5" s="3"/>
      <c r="N5" s="3"/>
      <c r="O5" s="3"/>
      <c r="P5" s="3"/>
      <c r="Q5" s="3"/>
      <c r="R5" s="3"/>
      <c r="S5" s="3"/>
      <c r="T5" s="3"/>
      <c r="U5" s="88"/>
    </row>
    <row r="6" spans="1:21" x14ac:dyDescent="0.25">
      <c r="A6" s="41"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3"/>
      <c r="L6" s="3"/>
      <c r="M6" s="3"/>
      <c r="N6" s="3"/>
      <c r="O6" s="3"/>
      <c r="P6" s="3"/>
      <c r="Q6" s="3"/>
      <c r="R6" s="3"/>
      <c r="S6" s="3"/>
      <c r="T6" s="3"/>
      <c r="U6" s="88"/>
    </row>
    <row r="7" spans="1:21" x14ac:dyDescent="0.25">
      <c r="A7" s="41"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c r="K7" s="3"/>
      <c r="L7" s="3"/>
      <c r="M7" s="3"/>
      <c r="N7" s="3"/>
      <c r="O7" s="3"/>
      <c r="P7" s="3"/>
      <c r="Q7" s="3"/>
      <c r="R7" s="3"/>
      <c r="S7" s="3"/>
      <c r="T7" s="3"/>
      <c r="U7" s="88"/>
    </row>
    <row r="8" spans="1:21" x14ac:dyDescent="0.25">
      <c r="A8" s="41"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
        <v>94</v>
      </c>
      <c r="J8" s="3"/>
      <c r="K8" s="3"/>
      <c r="L8" s="3"/>
      <c r="M8" s="3"/>
      <c r="N8" s="3"/>
      <c r="O8" s="3"/>
      <c r="P8" s="3"/>
      <c r="Q8" s="3"/>
      <c r="R8" s="3"/>
      <c r="S8" s="3"/>
      <c r="T8" s="3"/>
      <c r="U8" s="88"/>
    </row>
    <row r="9" spans="1:21" x14ac:dyDescent="0.25">
      <c r="A9" s="61"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tr">
        <f>IF('DATI LOGICI'!I7&lt;&gt;"",'DATI LOGICI'!I7,"")</f>
        <v>N</v>
      </c>
      <c r="J9" s="3"/>
      <c r="K9" s="3"/>
      <c r="L9" s="3"/>
      <c r="M9" s="3"/>
      <c r="N9" s="3"/>
      <c r="O9" s="3"/>
      <c r="P9" s="3"/>
      <c r="Q9" s="3"/>
      <c r="R9" s="3"/>
      <c r="S9" s="3"/>
      <c r="T9" s="3"/>
      <c r="U9" s="88"/>
    </row>
    <row r="10" spans="1:21" x14ac:dyDescent="0.25">
      <c r="A10" s="41"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24"/>
      <c r="L10" s="3"/>
      <c r="M10" s="3"/>
      <c r="N10" s="3"/>
      <c r="O10" s="3"/>
      <c r="P10" s="3"/>
      <c r="Q10" s="3"/>
      <c r="R10" s="3"/>
      <c r="S10" s="3"/>
      <c r="T10" s="3"/>
      <c r="U10" s="88"/>
    </row>
    <row r="11" spans="1:21" x14ac:dyDescent="0.25">
      <c r="A11" s="41"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c r="K11" s="3"/>
      <c r="L11" s="3"/>
      <c r="M11" s="3"/>
      <c r="N11" s="3"/>
      <c r="O11" s="3"/>
      <c r="P11" s="3"/>
      <c r="Q11" s="3"/>
      <c r="R11" s="3"/>
      <c r="S11" s="3"/>
      <c r="T11" s="3"/>
      <c r="U11" s="88"/>
    </row>
    <row r="12" spans="1:21" x14ac:dyDescent="0.25">
      <c r="A12" s="61"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3"/>
      <c r="K12" s="3"/>
      <c r="L12" s="3"/>
      <c r="M12" s="3"/>
      <c r="N12" s="3"/>
      <c r="O12" s="3"/>
      <c r="P12" s="3"/>
      <c r="Q12" s="3"/>
      <c r="R12" s="3"/>
      <c r="S12" s="3"/>
      <c r="T12" s="3"/>
      <c r="U12" s="88"/>
    </row>
    <row r="13" spans="1:21" x14ac:dyDescent="0.25">
      <c r="A13" s="41"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3"/>
      <c r="K13" s="3"/>
      <c r="L13" s="3"/>
      <c r="M13" s="3"/>
      <c r="N13" s="3"/>
      <c r="O13" s="3"/>
      <c r="P13" s="3"/>
      <c r="Q13" s="3"/>
      <c r="R13" s="3"/>
      <c r="S13" s="3"/>
      <c r="T13" s="3"/>
      <c r="U13" s="88"/>
    </row>
    <row r="14" spans="1:21" x14ac:dyDescent="0.25">
      <c r="A14" s="41"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3"/>
      <c r="K14" s="3"/>
      <c r="L14" s="3"/>
      <c r="M14" s="3"/>
      <c r="N14" s="3"/>
      <c r="O14" s="3"/>
      <c r="P14" s="3"/>
      <c r="Q14" s="3"/>
      <c r="R14" s="3"/>
      <c r="S14" s="3"/>
      <c r="T14" s="3"/>
      <c r="U14" s="88"/>
    </row>
    <row r="15" spans="1:21" x14ac:dyDescent="0.25">
      <c r="A15" s="41"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3"/>
      <c r="K15" s="3"/>
      <c r="L15" s="3"/>
      <c r="M15" s="3"/>
      <c r="N15" s="3"/>
      <c r="O15" s="3"/>
      <c r="P15" s="3"/>
      <c r="Q15" s="3"/>
      <c r="R15" s="3"/>
      <c r="S15" s="3"/>
      <c r="T15" s="3"/>
      <c r="U15" s="88"/>
    </row>
    <row r="16" spans="1:21" x14ac:dyDescent="0.25">
      <c r="A16" s="41"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3"/>
      <c r="K16" s="3"/>
      <c r="L16" s="3"/>
      <c r="M16" s="3"/>
      <c r="N16" s="3"/>
      <c r="O16" s="3"/>
      <c r="P16" s="3"/>
      <c r="Q16" s="3"/>
      <c r="R16" s="3"/>
      <c r="S16" s="3"/>
      <c r="T16" s="3"/>
      <c r="U16" s="88"/>
    </row>
    <row r="17" spans="1:21" x14ac:dyDescent="0.25">
      <c r="A17" s="41"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3"/>
      <c r="K17" s="3"/>
      <c r="L17" s="3"/>
      <c r="M17" s="3"/>
      <c r="N17" s="3"/>
      <c r="O17" s="3"/>
      <c r="P17" s="3"/>
      <c r="Q17" s="3"/>
      <c r="R17" s="3"/>
      <c r="S17" s="3"/>
      <c r="T17" s="3"/>
      <c r="U17" s="88"/>
    </row>
    <row r="18" spans="1:21" x14ac:dyDescent="0.25">
      <c r="A18" s="41"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3"/>
      <c r="K18" s="3" t="s">
        <v>647</v>
      </c>
      <c r="L18" s="3"/>
      <c r="M18" s="3"/>
      <c r="N18" s="3"/>
      <c r="O18" s="3"/>
      <c r="P18" s="3"/>
      <c r="Q18" s="3"/>
      <c r="R18" s="3"/>
      <c r="S18" s="3"/>
      <c r="T18" s="3"/>
      <c r="U18" s="88"/>
    </row>
    <row r="19" spans="1:21" x14ac:dyDescent="0.25">
      <c r="A19" s="41"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v>0</v>
      </c>
      <c r="G19" s="3">
        <v>100</v>
      </c>
      <c r="H19" s="3" t="s">
        <v>649</v>
      </c>
      <c r="I19" s="3" t="str">
        <f>IF('DATI LOGICI'!I17&lt;&gt;"",'DATI LOGICI'!I17,"")</f>
        <v>RW</v>
      </c>
      <c r="J19" s="3"/>
      <c r="K19" s="3"/>
      <c r="L19" s="3"/>
      <c r="M19" s="3"/>
      <c r="N19" s="3"/>
      <c r="O19" s="3"/>
      <c r="P19" s="3"/>
      <c r="Q19" s="3"/>
      <c r="R19" s="3"/>
      <c r="S19" s="3"/>
      <c r="T19" s="3"/>
      <c r="U19" s="88"/>
    </row>
    <row r="20" spans="1:21" x14ac:dyDescent="0.25">
      <c r="A20" s="41"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t="str">
        <f>IF('DATI LOGICI'!F18&lt;&gt;"",'DATI LOGICI'!F18,"")</f>
        <v/>
      </c>
      <c r="G20" s="3" t="str">
        <f>IF('DATI LOGICI'!G18&lt;&gt;"",'DATI LOGICI'!G18,"")</f>
        <v/>
      </c>
      <c r="H20" s="3" t="str">
        <f>IF('DATI LOGICI'!H18&lt;&gt;"",'DATI LOGICI'!H18,"")</f>
        <v/>
      </c>
      <c r="I20" s="3" t="str">
        <f>IF('DATI LOGICI'!I18&lt;&gt;"",'DATI LOGICI'!I18,"")</f>
        <v>R</v>
      </c>
      <c r="J20" s="3"/>
      <c r="K20" s="3"/>
      <c r="L20" s="3"/>
      <c r="M20" s="3"/>
      <c r="N20" s="3"/>
      <c r="O20" s="3"/>
      <c r="P20" s="3"/>
      <c r="Q20" s="3"/>
      <c r="R20" s="3"/>
      <c r="S20" s="3"/>
      <c r="T20" s="3"/>
      <c r="U20" s="88"/>
    </row>
    <row r="21" spans="1:21" x14ac:dyDescent="0.25">
      <c r="A21" s="61"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3"/>
      <c r="K21" s="3"/>
      <c r="L21" s="3"/>
      <c r="M21" s="3"/>
      <c r="N21" s="3"/>
      <c r="O21" s="3"/>
      <c r="P21" s="3"/>
      <c r="Q21" s="3"/>
      <c r="R21" s="3"/>
      <c r="S21" s="3"/>
      <c r="T21" s="3"/>
      <c r="U21" s="88"/>
    </row>
    <row r="22" spans="1:21" x14ac:dyDescent="0.25">
      <c r="A22" s="61"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3"/>
      <c r="K22" s="3"/>
      <c r="L22" s="3"/>
      <c r="M22" s="3"/>
      <c r="N22" s="3"/>
      <c r="O22" s="3"/>
      <c r="P22" s="3"/>
      <c r="Q22" s="3"/>
      <c r="R22" s="3"/>
      <c r="S22" s="3"/>
      <c r="T22" s="3"/>
      <c r="U22" s="88"/>
    </row>
    <row r="23" spans="1:21" x14ac:dyDescent="0.25">
      <c r="A23" s="61"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3"/>
      <c r="K23" s="3"/>
      <c r="L23" s="3"/>
      <c r="M23" s="3"/>
      <c r="N23" s="3"/>
      <c r="O23" s="3"/>
      <c r="P23" s="3"/>
      <c r="Q23" s="3"/>
      <c r="R23" s="3"/>
      <c r="S23" s="3"/>
      <c r="T23" s="3"/>
      <c r="U23" s="88"/>
    </row>
    <row r="24" spans="1:21" x14ac:dyDescent="0.25">
      <c r="A24" s="61"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3"/>
      <c r="K24" s="3"/>
      <c r="L24" s="3"/>
      <c r="M24" s="3"/>
      <c r="N24" s="3"/>
      <c r="O24" s="3"/>
      <c r="P24" s="3"/>
      <c r="Q24" s="3"/>
      <c r="R24" s="3"/>
      <c r="S24" s="3"/>
      <c r="T24" s="3"/>
      <c r="U24" s="88"/>
    </row>
    <row r="25" spans="1:21" x14ac:dyDescent="0.25">
      <c r="A25" s="61"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3"/>
      <c r="K25" s="3"/>
      <c r="L25" s="3"/>
      <c r="M25" s="3"/>
      <c r="N25" s="3"/>
      <c r="O25" s="3"/>
      <c r="P25" s="3"/>
      <c r="Q25" s="3"/>
      <c r="R25" s="3"/>
      <c r="S25" s="3"/>
      <c r="T25" s="3"/>
      <c r="U25" s="88"/>
    </row>
    <row r="26" spans="1:21" x14ac:dyDescent="0.25">
      <c r="A26" s="61"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3"/>
      <c r="K26" s="3"/>
      <c r="L26" s="3"/>
      <c r="M26" s="3"/>
      <c r="N26" s="3"/>
      <c r="O26" s="3"/>
      <c r="P26" s="3"/>
      <c r="Q26" s="3"/>
      <c r="R26" s="3"/>
      <c r="S26" s="3"/>
      <c r="T26" s="3"/>
      <c r="U26" s="88"/>
    </row>
    <row r="27" spans="1:21" x14ac:dyDescent="0.25">
      <c r="A27" s="50" t="str">
        <f>IF('DATI LOGICI'!A26&lt;&gt;"",'DATI LOGICI'!A26,"")</f>
        <v>Firmware Bootloader</v>
      </c>
      <c r="B27" s="50">
        <f>IF('DATI LOGICI'!B26&lt;&gt;"",'DATI LOGICI'!B26,"")</f>
        <v>0</v>
      </c>
      <c r="C27" s="50">
        <f>IF('DATI LOGICI'!C26&lt;&gt;"",'DATI LOGICI'!C26,"")</f>
        <v>17</v>
      </c>
      <c r="D27" s="50" t="str">
        <f>IF('DATI LOGICI'!D26&lt;&gt;"",'DATI LOGICI'!D26,"")</f>
        <v xml:space="preserve">uint16_t </v>
      </c>
      <c r="E27" s="50" t="str">
        <f>IF('DATI LOGICI'!E26&lt;&gt;"",'DATI LOGICI'!E26,"")</f>
        <v>255.255</v>
      </c>
      <c r="F27" s="50">
        <f>IF('DATI LOGICI'!F26&lt;&gt;"",'DATI LOGICI'!F26,"")</f>
        <v>0</v>
      </c>
      <c r="G27" s="50" t="str">
        <f>IF('DATI LOGICI'!G26&lt;&gt;"",'DATI LOGICI'!G26,"")</f>
        <v>255.255</v>
      </c>
      <c r="H27" s="50" t="str">
        <f>IF('DATI LOGICI'!H26&lt;&gt;"",'DATI LOGICI'!H26,"")</f>
        <v/>
      </c>
      <c r="I27" s="50" t="str">
        <f>IF('DATI LOGICI'!I26&lt;&gt;"",'DATI LOGICI'!I26,"")</f>
        <v>R</v>
      </c>
      <c r="J27" s="3"/>
      <c r="U27" s="88"/>
    </row>
    <row r="28" spans="1:21" x14ac:dyDescent="0.25">
      <c r="A28" s="19" t="s">
        <v>137</v>
      </c>
      <c r="B28" s="3">
        <v>80</v>
      </c>
      <c r="C28" s="3">
        <v>0</v>
      </c>
      <c r="D28" s="3" t="s">
        <v>138</v>
      </c>
      <c r="E28" s="3"/>
      <c r="F28" s="3"/>
      <c r="G28" s="3"/>
      <c r="H28" s="3"/>
      <c r="I28" s="3" t="s">
        <v>104</v>
      </c>
      <c r="J28" s="3"/>
      <c r="K28" s="1"/>
      <c r="L28" s="1"/>
      <c r="M28" s="1"/>
      <c r="N28" s="1"/>
      <c r="O28" s="1"/>
      <c r="P28" s="1"/>
      <c r="Q28" s="1"/>
      <c r="R28" s="1"/>
      <c r="S28" s="1"/>
      <c r="U28" s="88"/>
    </row>
    <row r="29" spans="1:21" x14ac:dyDescent="0.25">
      <c r="A29" s="19" t="s">
        <v>140</v>
      </c>
      <c r="B29" s="3">
        <v>80</v>
      </c>
      <c r="C29" s="3">
        <v>1</v>
      </c>
      <c r="D29" s="3" t="s">
        <v>141</v>
      </c>
      <c r="E29" s="3"/>
      <c r="F29" s="3">
        <v>0</v>
      </c>
      <c r="G29" s="3">
        <v>1</v>
      </c>
      <c r="H29" s="3"/>
      <c r="I29" s="3" t="s">
        <v>94</v>
      </c>
      <c r="J29" s="3" t="s">
        <v>142</v>
      </c>
      <c r="K29" s="1"/>
      <c r="L29" s="1"/>
      <c r="M29" s="1"/>
      <c r="N29" s="1"/>
      <c r="O29" s="1"/>
      <c r="P29" s="1"/>
      <c r="Q29" s="1"/>
      <c r="R29" s="1"/>
      <c r="S29" s="1"/>
      <c r="U29" s="88"/>
    </row>
    <row r="30" spans="1:21" ht="71.25" x14ac:dyDescent="0.25">
      <c r="A30" s="19" t="s">
        <v>143</v>
      </c>
      <c r="B30" s="3">
        <v>80</v>
      </c>
      <c r="C30" s="3">
        <v>2</v>
      </c>
      <c r="D30" s="3" t="s">
        <v>144</v>
      </c>
      <c r="E30" s="3"/>
      <c r="F30" s="3">
        <v>0</v>
      </c>
      <c r="G30" s="3">
        <v>4</v>
      </c>
      <c r="H30" s="3"/>
      <c r="I30" s="3" t="s">
        <v>94</v>
      </c>
      <c r="J30" s="10" t="s">
        <v>145</v>
      </c>
      <c r="K30" s="1"/>
      <c r="L30" s="1" t="s">
        <v>146</v>
      </c>
      <c r="M30" s="1"/>
      <c r="N30" s="1"/>
      <c r="O30" s="1"/>
      <c r="P30" s="1"/>
      <c r="Q30" s="1"/>
      <c r="R30" s="1"/>
      <c r="S30" s="1"/>
      <c r="U30" s="88"/>
    </row>
    <row r="31" spans="1:21" x14ac:dyDescent="0.25">
      <c r="A31" s="25" t="s">
        <v>147</v>
      </c>
      <c r="B31" s="3">
        <v>80</v>
      </c>
      <c r="C31" s="3">
        <v>3</v>
      </c>
      <c r="D31" s="3" t="s">
        <v>148</v>
      </c>
      <c r="E31" s="3"/>
      <c r="F31" s="3"/>
      <c r="G31" s="3"/>
      <c r="H31" s="3"/>
      <c r="I31" s="3" t="s">
        <v>94</v>
      </c>
      <c r="J31" s="3"/>
      <c r="K31" s="1"/>
      <c r="L31" s="1"/>
      <c r="M31" s="1"/>
      <c r="N31" s="1"/>
      <c r="O31" s="1"/>
      <c r="P31" s="1"/>
      <c r="Q31" s="1"/>
      <c r="R31" s="1"/>
      <c r="S31" s="1"/>
      <c r="U31" s="88"/>
    </row>
    <row r="32" spans="1:21" x14ac:dyDescent="0.25">
      <c r="A32" s="25" t="s">
        <v>149</v>
      </c>
      <c r="B32" s="3">
        <f t="shared" ref="B32:B40" si="0">B29</f>
        <v>80</v>
      </c>
      <c r="C32" s="3">
        <f t="shared" ref="C32:C37" si="1">C31+1</f>
        <v>4</v>
      </c>
      <c r="D32" s="3" t="s">
        <v>148</v>
      </c>
      <c r="E32" s="3"/>
      <c r="F32" s="3"/>
      <c r="G32" s="3"/>
      <c r="H32" s="3"/>
      <c r="I32" s="3" t="s">
        <v>94</v>
      </c>
      <c r="J32" s="3"/>
      <c r="K32" s="26"/>
      <c r="L32" s="1"/>
      <c r="M32" s="1"/>
      <c r="N32" s="1"/>
      <c r="O32" s="1"/>
      <c r="P32" s="1"/>
      <c r="Q32" s="1"/>
      <c r="R32" s="1"/>
      <c r="S32" s="1"/>
      <c r="U32" s="88"/>
    </row>
    <row r="33" spans="1:21" x14ac:dyDescent="0.25">
      <c r="A33" s="25" t="s">
        <v>150</v>
      </c>
      <c r="B33" s="3">
        <f t="shared" si="0"/>
        <v>80</v>
      </c>
      <c r="C33" s="3">
        <f t="shared" si="1"/>
        <v>5</v>
      </c>
      <c r="D33" s="3" t="s">
        <v>141</v>
      </c>
      <c r="E33" s="3"/>
      <c r="F33" s="3"/>
      <c r="G33" s="3"/>
      <c r="H33" s="3"/>
      <c r="I33" s="3" t="s">
        <v>94</v>
      </c>
      <c r="J33" s="3"/>
      <c r="K33" s="26"/>
      <c r="L33" s="1"/>
      <c r="M33" s="1"/>
      <c r="N33" s="1"/>
      <c r="O33" s="1"/>
      <c r="P33" s="1"/>
      <c r="Q33" s="1"/>
      <c r="R33" s="1"/>
      <c r="S33" s="1"/>
      <c r="U33" s="88"/>
    </row>
    <row r="34" spans="1:21" x14ac:dyDescent="0.25">
      <c r="A34" s="25" t="s">
        <v>151</v>
      </c>
      <c r="B34" s="3">
        <f t="shared" si="0"/>
        <v>80</v>
      </c>
      <c r="C34" s="3">
        <f t="shared" si="1"/>
        <v>6</v>
      </c>
      <c r="D34" s="3" t="s">
        <v>148</v>
      </c>
      <c r="E34" s="3"/>
      <c r="F34" s="3"/>
      <c r="G34" s="3"/>
      <c r="H34" s="3"/>
      <c r="I34" s="3" t="s">
        <v>101</v>
      </c>
      <c r="J34" s="3"/>
      <c r="K34" s="26"/>
      <c r="L34" s="1"/>
      <c r="M34" s="1"/>
      <c r="N34" s="1"/>
      <c r="O34" s="1"/>
      <c r="P34" s="1"/>
      <c r="Q34" s="1"/>
      <c r="R34" s="1"/>
      <c r="S34" s="1"/>
      <c r="U34" s="88"/>
    </row>
    <row r="35" spans="1:21" x14ac:dyDescent="0.25">
      <c r="A35" s="25" t="s">
        <v>152</v>
      </c>
      <c r="B35" s="3">
        <f t="shared" si="0"/>
        <v>80</v>
      </c>
      <c r="C35" s="3">
        <f t="shared" si="1"/>
        <v>7</v>
      </c>
      <c r="D35" s="3" t="s">
        <v>153</v>
      </c>
      <c r="E35" s="3"/>
      <c r="F35" s="3"/>
      <c r="G35" s="3"/>
      <c r="H35" s="3"/>
      <c r="I35" s="3" t="s">
        <v>101</v>
      </c>
      <c r="J35" s="3"/>
      <c r="K35" s="26"/>
      <c r="L35" s="1"/>
      <c r="M35" s="1"/>
      <c r="N35" s="1"/>
      <c r="O35" s="1"/>
      <c r="P35" s="1"/>
      <c r="Q35" s="1"/>
      <c r="R35" s="1"/>
      <c r="S35" s="1"/>
      <c r="U35" s="88"/>
    </row>
    <row r="36" spans="1:21" x14ac:dyDescent="0.25">
      <c r="A36" s="25" t="s">
        <v>154</v>
      </c>
      <c r="B36" s="3">
        <f t="shared" si="0"/>
        <v>80</v>
      </c>
      <c r="C36" s="3">
        <f t="shared" si="1"/>
        <v>8</v>
      </c>
      <c r="D36" s="3" t="s">
        <v>148</v>
      </c>
      <c r="E36" s="3"/>
      <c r="F36" s="3"/>
      <c r="G36" s="3"/>
      <c r="H36" s="3"/>
      <c r="I36" s="3" t="s">
        <v>94</v>
      </c>
      <c r="J36" s="3"/>
      <c r="K36" s="26"/>
      <c r="L36" s="101"/>
      <c r="M36" s="101"/>
      <c r="N36" s="101"/>
      <c r="O36" s="101"/>
      <c r="P36" s="101"/>
      <c r="Q36" s="101"/>
      <c r="R36" s="101"/>
      <c r="S36" s="1"/>
      <c r="U36" s="88"/>
    </row>
    <row r="37" spans="1:21" x14ac:dyDescent="0.25">
      <c r="A37" s="25" t="s">
        <v>156</v>
      </c>
      <c r="B37" s="3">
        <f t="shared" si="0"/>
        <v>80</v>
      </c>
      <c r="C37" s="3">
        <f t="shared" si="1"/>
        <v>9</v>
      </c>
      <c r="D37" s="3" t="s">
        <v>148</v>
      </c>
      <c r="E37" s="3"/>
      <c r="F37" s="3"/>
      <c r="G37" s="3"/>
      <c r="H37" s="3"/>
      <c r="I37" s="3" t="s">
        <v>94</v>
      </c>
      <c r="J37" s="3"/>
      <c r="K37" s="26"/>
      <c r="L37" s="101"/>
      <c r="M37" s="101"/>
      <c r="N37" s="101"/>
      <c r="O37" s="101"/>
      <c r="P37" s="101"/>
      <c r="Q37" s="101"/>
      <c r="R37" s="101"/>
      <c r="S37" s="1"/>
      <c r="U37" s="88"/>
    </row>
    <row r="38" spans="1:21" x14ac:dyDescent="0.25">
      <c r="A38" s="25" t="s">
        <v>158</v>
      </c>
      <c r="B38" s="3">
        <f t="shared" si="0"/>
        <v>80</v>
      </c>
      <c r="C38" s="3" t="s">
        <v>55</v>
      </c>
      <c r="D38" s="3" t="s">
        <v>141</v>
      </c>
      <c r="E38" s="3"/>
      <c r="F38" s="3"/>
      <c r="G38" s="3"/>
      <c r="H38" s="3"/>
      <c r="I38" s="3" t="s">
        <v>94</v>
      </c>
      <c r="J38" s="3"/>
      <c r="K38" s="26"/>
      <c r="L38" s="101"/>
      <c r="M38" s="101"/>
      <c r="N38" s="101"/>
      <c r="O38" s="101"/>
      <c r="P38" s="101"/>
      <c r="Q38" s="101"/>
      <c r="R38" s="101"/>
      <c r="S38" s="1"/>
      <c r="U38" s="88"/>
    </row>
    <row r="39" spans="1:21" x14ac:dyDescent="0.25">
      <c r="A39" s="25" t="s">
        <v>159</v>
      </c>
      <c r="B39" s="3">
        <f t="shared" si="0"/>
        <v>80</v>
      </c>
      <c r="C39" s="3" t="s">
        <v>57</v>
      </c>
      <c r="D39" s="3" t="s">
        <v>148</v>
      </c>
      <c r="E39" s="3"/>
      <c r="F39" s="3"/>
      <c r="G39" s="3"/>
      <c r="H39" s="3"/>
      <c r="I39" s="3" t="s">
        <v>101</v>
      </c>
      <c r="J39" s="3"/>
      <c r="K39" s="26"/>
      <c r="L39" s="101"/>
      <c r="M39" s="101"/>
      <c r="N39" s="101"/>
      <c r="O39" s="101"/>
      <c r="P39" s="101"/>
      <c r="Q39" s="101"/>
      <c r="R39" s="101"/>
      <c r="S39" s="1"/>
    </row>
    <row r="40" spans="1:21" x14ac:dyDescent="0.25">
      <c r="A40" s="25" t="s">
        <v>160</v>
      </c>
      <c r="B40" s="3">
        <f t="shared" si="0"/>
        <v>80</v>
      </c>
      <c r="C40" s="3" t="s">
        <v>58</v>
      </c>
      <c r="D40" s="3" t="s">
        <v>153</v>
      </c>
      <c r="E40" s="3"/>
      <c r="F40" s="3"/>
      <c r="G40" s="3"/>
      <c r="H40" s="3"/>
      <c r="I40" s="3" t="s">
        <v>101</v>
      </c>
      <c r="J40" s="3"/>
      <c r="K40" s="26"/>
      <c r="L40" s="101"/>
      <c r="M40" s="101"/>
      <c r="N40" s="101"/>
      <c r="O40" s="101"/>
      <c r="P40" s="101"/>
      <c r="Q40" s="101"/>
      <c r="R40" s="101"/>
      <c r="S40" s="1"/>
    </row>
    <row r="41" spans="1:21" x14ac:dyDescent="0.25">
      <c r="A41" s="25" t="s">
        <v>161</v>
      </c>
      <c r="B41" s="3">
        <v>80</v>
      </c>
      <c r="C41" s="3" t="s">
        <v>60</v>
      </c>
      <c r="D41" s="3" t="s">
        <v>148</v>
      </c>
      <c r="E41" s="3"/>
      <c r="F41" s="3"/>
      <c r="G41" s="3"/>
      <c r="H41" s="3"/>
      <c r="I41" s="3" t="s">
        <v>94</v>
      </c>
      <c r="J41" s="3"/>
      <c r="K41" s="26"/>
      <c r="L41" s="101"/>
      <c r="M41" s="101"/>
      <c r="N41" s="101"/>
      <c r="O41" s="101"/>
      <c r="P41" s="101"/>
      <c r="Q41" s="101"/>
      <c r="R41" s="101"/>
      <c r="S41" s="1"/>
    </row>
    <row r="42" spans="1:21" x14ac:dyDescent="0.25">
      <c r="A42" s="25" t="s">
        <v>162</v>
      </c>
      <c r="B42" s="3">
        <v>80</v>
      </c>
      <c r="C42" s="3" t="s">
        <v>64</v>
      </c>
      <c r="D42" s="3" t="s">
        <v>148</v>
      </c>
      <c r="E42" s="3"/>
      <c r="F42" s="3"/>
      <c r="G42" s="3"/>
      <c r="H42" s="3"/>
      <c r="I42" s="3" t="s">
        <v>94</v>
      </c>
      <c r="J42" s="3"/>
      <c r="K42" s="26"/>
      <c r="L42" s="101"/>
      <c r="M42" s="101"/>
      <c r="N42" s="101"/>
      <c r="O42" s="101"/>
      <c r="P42" s="101"/>
      <c r="Q42" s="101"/>
      <c r="R42" s="101"/>
      <c r="S42" s="1"/>
    </row>
    <row r="43" spans="1:21" x14ac:dyDescent="0.25">
      <c r="A43" s="25" t="s">
        <v>163</v>
      </c>
      <c r="B43" s="3">
        <v>80</v>
      </c>
      <c r="C43" s="3" t="s">
        <v>66</v>
      </c>
      <c r="D43" s="3" t="s">
        <v>141</v>
      </c>
      <c r="E43" s="3"/>
      <c r="F43" s="3"/>
      <c r="G43" s="3"/>
      <c r="H43" s="3"/>
      <c r="I43" s="3" t="s">
        <v>94</v>
      </c>
      <c r="J43" s="3"/>
      <c r="K43" s="26"/>
      <c r="L43" s="101"/>
      <c r="M43" s="101"/>
      <c r="N43" s="101"/>
      <c r="O43" s="101"/>
      <c r="P43" s="101"/>
      <c r="Q43" s="101"/>
      <c r="R43" s="101"/>
      <c r="S43" s="1"/>
    </row>
    <row r="44" spans="1:21" x14ac:dyDescent="0.25">
      <c r="A44" s="25" t="s">
        <v>164</v>
      </c>
      <c r="B44" s="3">
        <v>80</v>
      </c>
      <c r="C44" s="3">
        <v>10</v>
      </c>
      <c r="D44" s="3" t="s">
        <v>148</v>
      </c>
      <c r="E44" s="3"/>
      <c r="F44" s="3"/>
      <c r="G44" s="3"/>
      <c r="H44" s="3"/>
      <c r="I44" s="3" t="s">
        <v>101</v>
      </c>
      <c r="J44" s="3"/>
      <c r="K44" s="26"/>
      <c r="L44" s="101"/>
      <c r="M44" s="101"/>
      <c r="N44" s="101"/>
      <c r="O44" s="101"/>
      <c r="P44" s="101"/>
      <c r="Q44" s="101"/>
      <c r="R44" s="101"/>
      <c r="S44" s="1"/>
    </row>
    <row r="45" spans="1:21" x14ac:dyDescent="0.25">
      <c r="A45" s="25" t="s">
        <v>165</v>
      </c>
      <c r="B45" s="3">
        <v>80</v>
      </c>
      <c r="C45" s="3">
        <f t="shared" ref="C45:C51" si="2">C44+1</f>
        <v>11</v>
      </c>
      <c r="D45" s="3" t="s">
        <v>166</v>
      </c>
      <c r="E45" s="3"/>
      <c r="F45" s="3"/>
      <c r="G45" s="3"/>
      <c r="H45" s="3"/>
      <c r="I45" s="3" t="s">
        <v>101</v>
      </c>
      <c r="J45" s="3"/>
      <c r="K45" s="26"/>
      <c r="L45" s="101"/>
      <c r="M45" s="101"/>
      <c r="N45" s="101"/>
      <c r="O45" s="101"/>
      <c r="P45" s="101"/>
      <c r="Q45" s="101"/>
      <c r="R45" s="101"/>
      <c r="S45" s="1"/>
    </row>
    <row r="46" spans="1:21" x14ac:dyDescent="0.25">
      <c r="A46" s="25" t="s">
        <v>167</v>
      </c>
      <c r="B46" s="3">
        <v>80</v>
      </c>
      <c r="C46" s="3">
        <f t="shared" si="2"/>
        <v>12</v>
      </c>
      <c r="D46" s="3" t="s">
        <v>148</v>
      </c>
      <c r="E46" s="3"/>
      <c r="F46" s="3"/>
      <c r="G46" s="3"/>
      <c r="H46" s="3"/>
      <c r="I46" s="3" t="s">
        <v>94</v>
      </c>
      <c r="J46" s="3"/>
      <c r="K46" s="26"/>
      <c r="L46" s="101"/>
      <c r="M46" s="101"/>
      <c r="N46" s="101"/>
      <c r="O46" s="101"/>
      <c r="P46" s="101"/>
      <c r="Q46" s="101"/>
      <c r="R46" s="101"/>
      <c r="S46" s="1"/>
    </row>
    <row r="47" spans="1:21" x14ac:dyDescent="0.25">
      <c r="A47" s="19" t="s">
        <v>168</v>
      </c>
      <c r="B47" s="3">
        <v>80</v>
      </c>
      <c r="C47" s="3">
        <f t="shared" si="2"/>
        <v>13</v>
      </c>
      <c r="D47" s="3" t="s">
        <v>93</v>
      </c>
      <c r="E47" s="3"/>
      <c r="F47" s="3"/>
      <c r="G47" s="3"/>
      <c r="H47" s="3"/>
      <c r="I47" s="3" t="s">
        <v>94</v>
      </c>
      <c r="J47" s="3"/>
      <c r="K47" s="26"/>
      <c r="L47" s="1"/>
      <c r="M47" s="1"/>
      <c r="N47" s="1"/>
      <c r="O47" s="1"/>
      <c r="P47" s="1"/>
      <c r="Q47" s="1"/>
      <c r="R47" s="1"/>
      <c r="S47" s="1"/>
    </row>
    <row r="48" spans="1:21" x14ac:dyDescent="0.25">
      <c r="A48" s="25" t="s">
        <v>169</v>
      </c>
      <c r="B48" s="3">
        <v>80</v>
      </c>
      <c r="C48" s="3">
        <f t="shared" si="2"/>
        <v>14</v>
      </c>
      <c r="D48" s="3" t="s">
        <v>100</v>
      </c>
      <c r="E48" s="3"/>
      <c r="F48" s="3"/>
      <c r="G48" s="3"/>
      <c r="H48" s="3"/>
      <c r="I48" s="3" t="s">
        <v>101</v>
      </c>
      <c r="J48" s="3"/>
      <c r="K48" s="26"/>
      <c r="L48" s="1"/>
      <c r="M48" s="1"/>
      <c r="N48" s="1"/>
      <c r="O48" s="1"/>
      <c r="P48" s="1"/>
      <c r="Q48" s="1"/>
      <c r="R48" s="1"/>
      <c r="S48" s="1"/>
    </row>
    <row r="49" spans="1:20" x14ac:dyDescent="0.25">
      <c r="A49" s="25" t="s">
        <v>171</v>
      </c>
      <c r="B49" s="3">
        <v>80</v>
      </c>
      <c r="C49" s="3">
        <f t="shared" si="2"/>
        <v>15</v>
      </c>
      <c r="D49" s="3" t="s">
        <v>100</v>
      </c>
      <c r="E49" s="3"/>
      <c r="F49" s="3"/>
      <c r="G49" s="3"/>
      <c r="H49" s="3"/>
      <c r="I49" s="3" t="s">
        <v>101</v>
      </c>
      <c r="J49" s="3"/>
      <c r="K49" s="26"/>
      <c r="L49" s="1"/>
      <c r="M49" s="1"/>
      <c r="N49" s="1"/>
      <c r="O49" s="1"/>
      <c r="P49" s="1"/>
      <c r="Q49" s="1"/>
      <c r="R49" s="1"/>
      <c r="S49" s="1"/>
    </row>
    <row r="50" spans="1:20" x14ac:dyDescent="0.25">
      <c r="A50" s="25" t="s">
        <v>173</v>
      </c>
      <c r="B50" s="3">
        <v>80</v>
      </c>
      <c r="C50" s="3">
        <f t="shared" si="2"/>
        <v>16</v>
      </c>
      <c r="D50" s="3" t="s">
        <v>93</v>
      </c>
      <c r="E50" s="3"/>
      <c r="F50" s="3"/>
      <c r="G50" s="3"/>
      <c r="H50" s="3"/>
      <c r="I50" s="3" t="s">
        <v>101</v>
      </c>
      <c r="J50" s="3"/>
      <c r="K50" s="1"/>
      <c r="L50" s="1"/>
      <c r="M50" s="1"/>
      <c r="N50" s="1"/>
      <c r="O50" s="1"/>
      <c r="P50" s="1"/>
      <c r="Q50" s="1"/>
      <c r="R50" s="1"/>
      <c r="S50" s="1"/>
      <c r="T50" s="88"/>
    </row>
    <row r="51" spans="1:20" x14ac:dyDescent="0.25">
      <c r="A51" s="25" t="s">
        <v>174</v>
      </c>
      <c r="B51" s="3">
        <v>80</v>
      </c>
      <c r="C51" s="3">
        <f t="shared" si="2"/>
        <v>17</v>
      </c>
      <c r="D51" s="3" t="s">
        <v>166</v>
      </c>
      <c r="E51" s="3"/>
      <c r="F51" s="3"/>
      <c r="G51" s="3"/>
      <c r="H51" s="3"/>
      <c r="I51" s="3" t="s">
        <v>101</v>
      </c>
      <c r="J51" s="3"/>
      <c r="K51" s="1"/>
      <c r="L51" s="1" t="s">
        <v>175</v>
      </c>
      <c r="M51" s="1"/>
      <c r="N51" s="1"/>
      <c r="O51" s="1"/>
      <c r="P51" s="1"/>
      <c r="Q51" s="1"/>
      <c r="R51" s="1"/>
      <c r="S51" s="1"/>
      <c r="T51" s="88"/>
    </row>
    <row r="52" spans="1:20" x14ac:dyDescent="0.25">
      <c r="A52" s="104"/>
      <c r="B52" s="105"/>
      <c r="C52" s="105"/>
      <c r="D52" s="105"/>
      <c r="E52" s="105"/>
      <c r="F52" s="105"/>
      <c r="G52" s="105"/>
      <c r="H52" s="105"/>
      <c r="I52" s="106"/>
      <c r="J52" s="97"/>
      <c r="K52" s="97"/>
      <c r="L52" s="97"/>
      <c r="M52" s="97"/>
      <c r="N52" s="97"/>
      <c r="O52" s="97"/>
      <c r="P52" s="97"/>
      <c r="Q52" s="97"/>
      <c r="R52" s="97"/>
      <c r="S52" s="97"/>
      <c r="T52" s="88"/>
    </row>
    <row r="53" spans="1:20" x14ac:dyDescent="0.25">
      <c r="A53" s="25" t="s">
        <v>176</v>
      </c>
      <c r="B53" s="3">
        <v>80</v>
      </c>
      <c r="C53" s="3" t="s">
        <v>177</v>
      </c>
      <c r="D53" s="3" t="s">
        <v>132</v>
      </c>
      <c r="E53" s="3"/>
      <c r="F53" s="3"/>
      <c r="G53" s="3"/>
      <c r="H53" s="3"/>
      <c r="I53" s="3" t="s">
        <v>101</v>
      </c>
      <c r="J53" s="1"/>
      <c r="K53" s="1"/>
      <c r="L53" s="1"/>
      <c r="M53" s="1"/>
      <c r="N53" s="1"/>
      <c r="O53" s="1"/>
      <c r="P53" s="1"/>
      <c r="Q53" s="1"/>
      <c r="R53" s="1"/>
      <c r="S53" s="1"/>
      <c r="T53" s="88"/>
    </row>
    <row r="54" spans="1:20" x14ac:dyDescent="0.25">
      <c r="A54" s="25" t="s">
        <v>179</v>
      </c>
      <c r="B54" s="3">
        <v>80</v>
      </c>
      <c r="C54" s="3" t="s">
        <v>180</v>
      </c>
      <c r="D54" s="3" t="s">
        <v>138</v>
      </c>
      <c r="E54" s="3"/>
      <c r="F54" s="3"/>
      <c r="G54" s="3"/>
      <c r="H54" s="3"/>
      <c r="I54" s="3" t="s">
        <v>94</v>
      </c>
      <c r="J54" s="1"/>
      <c r="K54" s="1"/>
      <c r="L54" s="1"/>
      <c r="M54" s="1"/>
      <c r="N54" s="1"/>
      <c r="O54" s="1"/>
      <c r="P54" s="1"/>
      <c r="Q54" s="1"/>
      <c r="R54" s="1"/>
      <c r="S54" s="1"/>
      <c r="T54" s="88"/>
    </row>
    <row r="55" spans="1:20" x14ac:dyDescent="0.25">
      <c r="A55" s="25" t="s">
        <v>182</v>
      </c>
      <c r="B55" s="3">
        <v>80</v>
      </c>
      <c r="C55" s="3">
        <v>30</v>
      </c>
      <c r="D55" s="3" t="s">
        <v>138</v>
      </c>
      <c r="E55" s="3"/>
      <c r="F55" s="3"/>
      <c r="G55" s="3"/>
      <c r="H55" s="3"/>
      <c r="I55" s="3" t="s">
        <v>94</v>
      </c>
      <c r="J55" s="3"/>
      <c r="K55" s="1"/>
      <c r="L55" s="1"/>
      <c r="M55" s="1"/>
      <c r="N55" s="1"/>
      <c r="O55" s="1"/>
      <c r="P55" s="1"/>
      <c r="Q55" s="1"/>
      <c r="R55" s="1"/>
      <c r="S55" s="1"/>
      <c r="T55" s="88"/>
    </row>
    <row r="56" spans="1:20" ht="39" x14ac:dyDescent="0.25">
      <c r="A56" s="19" t="s">
        <v>205</v>
      </c>
      <c r="B56" s="3">
        <v>80</v>
      </c>
      <c r="C56" s="3">
        <v>31</v>
      </c>
      <c r="D56" s="3" t="s">
        <v>100</v>
      </c>
      <c r="E56" s="3"/>
      <c r="F56" s="3"/>
      <c r="G56" s="3"/>
      <c r="H56" s="3"/>
      <c r="I56" s="3" t="s">
        <v>94</v>
      </c>
      <c r="J56" s="27" t="s">
        <v>214</v>
      </c>
      <c r="K56" s="1"/>
      <c r="L56" s="1"/>
      <c r="M56" s="1"/>
      <c r="N56" s="1"/>
      <c r="O56" s="1"/>
      <c r="P56" s="1"/>
      <c r="Q56" s="1"/>
      <c r="R56" s="1"/>
      <c r="S56" s="1"/>
      <c r="T56" s="88"/>
    </row>
    <row r="57" spans="1:20" x14ac:dyDescent="0.25">
      <c r="A57" s="19" t="s">
        <v>184</v>
      </c>
      <c r="B57" s="3">
        <v>80</v>
      </c>
      <c r="C57" s="3">
        <v>32</v>
      </c>
      <c r="D57" s="3" t="s">
        <v>93</v>
      </c>
      <c r="E57" s="3"/>
      <c r="F57" s="3"/>
      <c r="G57" s="3"/>
      <c r="H57" s="3"/>
      <c r="I57" s="3" t="s">
        <v>94</v>
      </c>
      <c r="J57" s="22" t="s">
        <v>215</v>
      </c>
      <c r="K57" s="1"/>
      <c r="L57" s="1"/>
      <c r="M57" s="1"/>
      <c r="N57" s="1"/>
      <c r="O57" s="1"/>
      <c r="P57" s="1"/>
      <c r="Q57" s="1"/>
      <c r="R57" s="1"/>
      <c r="S57" s="1"/>
      <c r="T57" s="89"/>
    </row>
    <row r="58" spans="1:20" x14ac:dyDescent="0.25">
      <c r="A58" s="19" t="s">
        <v>185</v>
      </c>
      <c r="B58" s="3">
        <v>80</v>
      </c>
      <c r="C58" s="3">
        <v>33</v>
      </c>
      <c r="D58" s="3" t="s">
        <v>93</v>
      </c>
      <c r="E58" s="3"/>
      <c r="F58" s="3"/>
      <c r="G58" s="3"/>
      <c r="H58" s="3"/>
      <c r="I58" s="3" t="s">
        <v>94</v>
      </c>
      <c r="J58" s="22" t="s">
        <v>216</v>
      </c>
      <c r="K58" s="1"/>
      <c r="L58" s="1"/>
      <c r="M58" s="1"/>
      <c r="N58" s="1"/>
      <c r="O58" s="1"/>
      <c r="P58" s="1"/>
      <c r="Q58" s="1"/>
      <c r="R58" s="1"/>
      <c r="S58" s="1"/>
      <c r="T58" s="88"/>
    </row>
    <row r="59" spans="1:20" x14ac:dyDescent="0.25">
      <c r="A59" s="19" t="s">
        <v>186</v>
      </c>
      <c r="B59" s="3">
        <v>80</v>
      </c>
      <c r="C59" s="3">
        <v>34</v>
      </c>
      <c r="D59" s="3" t="s">
        <v>93</v>
      </c>
      <c r="E59" s="3"/>
      <c r="F59" s="3"/>
      <c r="G59" s="3"/>
      <c r="H59" s="3"/>
      <c r="I59" s="3" t="s">
        <v>94</v>
      </c>
      <c r="J59" s="22" t="s">
        <v>217</v>
      </c>
      <c r="K59" s="28"/>
      <c r="L59" s="28"/>
      <c r="M59" s="28"/>
      <c r="N59" s="28"/>
      <c r="O59" s="28"/>
      <c r="P59" s="28"/>
      <c r="Q59" s="28"/>
      <c r="R59" s="28"/>
      <c r="S59" s="28"/>
      <c r="T59" s="88"/>
    </row>
    <row r="60" spans="1:20" ht="291" x14ac:dyDescent="0.25">
      <c r="A60" s="19" t="s">
        <v>218</v>
      </c>
      <c r="B60" s="3">
        <v>80</v>
      </c>
      <c r="C60" s="3">
        <v>35</v>
      </c>
      <c r="D60" s="3" t="s">
        <v>138</v>
      </c>
      <c r="E60" s="3"/>
      <c r="F60" s="3"/>
      <c r="G60" s="3"/>
      <c r="H60" s="3"/>
      <c r="I60" s="3" t="s">
        <v>94</v>
      </c>
      <c r="J60" s="27" t="s">
        <v>219</v>
      </c>
      <c r="K60" s="26"/>
      <c r="L60" s="1"/>
      <c r="M60" s="1"/>
      <c r="N60" s="1"/>
      <c r="O60" s="1"/>
      <c r="P60" s="1"/>
      <c r="Q60" s="1"/>
      <c r="R60" s="1"/>
      <c r="S60" s="1"/>
      <c r="T60" s="88"/>
    </row>
    <row r="61" spans="1:20" ht="261" x14ac:dyDescent="0.25">
      <c r="A61" s="19" t="s">
        <v>220</v>
      </c>
      <c r="B61" s="3">
        <v>80</v>
      </c>
      <c r="C61" s="3">
        <v>36</v>
      </c>
      <c r="D61" s="3" t="s">
        <v>100</v>
      </c>
      <c r="E61" s="3"/>
      <c r="F61" s="3"/>
      <c r="G61" s="3"/>
      <c r="H61" s="3"/>
      <c r="I61" s="3" t="s">
        <v>94</v>
      </c>
      <c r="J61" s="27" t="s">
        <v>221</v>
      </c>
      <c r="K61" s="1"/>
      <c r="L61" s="1"/>
      <c r="M61" s="1"/>
      <c r="N61" s="1"/>
      <c r="O61" s="1"/>
      <c r="P61" s="1"/>
      <c r="Q61" s="1"/>
      <c r="R61" s="1"/>
      <c r="S61" s="1"/>
      <c r="T61" s="88"/>
    </row>
    <row r="62" spans="1:20" x14ac:dyDescent="0.25">
      <c r="A62" s="19" t="s">
        <v>209</v>
      </c>
      <c r="B62" s="3">
        <v>80</v>
      </c>
      <c r="C62" s="3">
        <v>37</v>
      </c>
      <c r="D62" s="3" t="s">
        <v>141</v>
      </c>
      <c r="E62" s="1"/>
      <c r="F62" s="1"/>
      <c r="G62" s="1"/>
      <c r="H62" s="1"/>
      <c r="I62" s="3" t="s">
        <v>101</v>
      </c>
      <c r="J62" s="3" t="s">
        <v>210</v>
      </c>
      <c r="K62" s="1"/>
      <c r="L62" s="1"/>
      <c r="M62" s="1"/>
      <c r="N62" s="1"/>
      <c r="O62" s="1"/>
      <c r="P62" s="1"/>
      <c r="Q62" s="1"/>
      <c r="R62" s="1"/>
      <c r="S62" s="1"/>
      <c r="T62" s="88"/>
    </row>
    <row r="63" spans="1:20" x14ac:dyDescent="0.25">
      <c r="A63" s="1"/>
      <c r="B63" s="1"/>
      <c r="C63" s="1"/>
      <c r="D63" s="1"/>
      <c r="E63" s="1"/>
      <c r="F63" s="1"/>
      <c r="G63" s="1"/>
      <c r="H63" s="1"/>
      <c r="I63" s="1"/>
      <c r="J63" s="3"/>
      <c r="K63" s="1"/>
      <c r="L63" s="1"/>
      <c r="M63" s="1"/>
      <c r="N63" s="1"/>
      <c r="O63" s="1"/>
      <c r="P63" s="1"/>
      <c r="Q63" s="1"/>
      <c r="R63" s="1"/>
      <c r="S63" s="1"/>
      <c r="T63" s="88"/>
    </row>
    <row r="64" spans="1:20" x14ac:dyDescent="0.25">
      <c r="A64" s="1"/>
      <c r="B64" s="1"/>
      <c r="C64" s="1"/>
      <c r="D64" s="1"/>
      <c r="E64" s="1"/>
      <c r="F64" s="1"/>
      <c r="G64" s="1"/>
      <c r="H64" s="1"/>
      <c r="I64" s="1"/>
      <c r="J64" s="3"/>
      <c r="K64" s="26"/>
      <c r="L64" s="1"/>
      <c r="M64" s="1"/>
      <c r="N64" s="1"/>
      <c r="O64" s="1"/>
      <c r="P64" s="1"/>
      <c r="Q64" s="1"/>
      <c r="R64" s="1"/>
      <c r="S64" s="1"/>
      <c r="T64" s="88"/>
    </row>
    <row r="65" spans="1:20" x14ac:dyDescent="0.25">
      <c r="A65" s="1"/>
      <c r="B65" s="1"/>
      <c r="C65" s="1"/>
      <c r="D65" s="1"/>
      <c r="E65" s="1"/>
      <c r="F65" s="1"/>
      <c r="G65" s="1"/>
      <c r="H65" s="1"/>
      <c r="I65" s="1"/>
      <c r="J65" s="3"/>
      <c r="K65" s="26"/>
      <c r="L65" s="1"/>
      <c r="M65" s="1"/>
      <c r="N65" s="1"/>
      <c r="O65" s="1"/>
      <c r="P65" s="1"/>
      <c r="Q65" s="1"/>
      <c r="R65" s="1"/>
      <c r="S65" s="1"/>
      <c r="T65" s="88"/>
    </row>
    <row r="66" spans="1:20" x14ac:dyDescent="0.25">
      <c r="A66" s="1"/>
      <c r="B66" s="1"/>
      <c r="C66" s="1"/>
      <c r="D66" s="1"/>
      <c r="E66" s="1"/>
      <c r="F66" s="1"/>
      <c r="G66" s="1"/>
      <c r="H66" s="1"/>
      <c r="I66" s="1"/>
      <c r="J66" s="3" t="s">
        <v>222</v>
      </c>
      <c r="K66" s="26"/>
      <c r="L66" s="1"/>
      <c r="M66" s="1"/>
      <c r="N66" s="1"/>
      <c r="O66" s="1"/>
      <c r="P66" s="1"/>
      <c r="Q66" s="1"/>
      <c r="R66" s="1"/>
      <c r="S66" s="1"/>
      <c r="T66" s="88"/>
    </row>
    <row r="67" spans="1:20" x14ac:dyDescent="0.25">
      <c r="A67" s="1"/>
      <c r="B67" s="1"/>
      <c r="C67" s="1"/>
      <c r="D67" s="1"/>
      <c r="E67" s="1"/>
      <c r="F67" s="1"/>
      <c r="G67" s="1"/>
      <c r="H67" s="1"/>
      <c r="I67" s="1"/>
      <c r="J67" s="3"/>
      <c r="K67" s="26"/>
      <c r="L67" s="1"/>
      <c r="M67" s="1"/>
      <c r="N67" s="1"/>
      <c r="O67" s="1"/>
      <c r="P67" s="1"/>
      <c r="Q67" s="1"/>
      <c r="R67" s="1"/>
      <c r="S67" s="1"/>
      <c r="T67" s="88"/>
    </row>
    <row r="68" spans="1:20" x14ac:dyDescent="0.25">
      <c r="A68" s="1"/>
      <c r="B68" s="1"/>
      <c r="C68" s="1"/>
      <c r="D68" s="1"/>
      <c r="E68" s="1"/>
      <c r="F68" s="1"/>
      <c r="G68" s="1"/>
      <c r="H68" s="1"/>
      <c r="I68" s="1"/>
      <c r="J68" s="10"/>
      <c r="K68" s="26"/>
      <c r="L68" s="1"/>
      <c r="M68" s="1"/>
      <c r="N68" s="1"/>
      <c r="O68" s="1"/>
      <c r="P68" s="1"/>
      <c r="Q68" s="1"/>
      <c r="R68" s="1"/>
      <c r="S68" s="1"/>
      <c r="T68" s="88"/>
    </row>
    <row r="69" spans="1:20" x14ac:dyDescent="0.25">
      <c r="T69" s="88"/>
    </row>
    <row r="70" spans="1:20" x14ac:dyDescent="0.25">
      <c r="T70" s="88"/>
    </row>
    <row r="71" spans="1:20" x14ac:dyDescent="0.25">
      <c r="T71" s="88"/>
    </row>
    <row r="72" spans="1:20" x14ac:dyDescent="0.25">
      <c r="T72" s="88"/>
    </row>
    <row r="73" spans="1:20" x14ac:dyDescent="0.25">
      <c r="T73" s="88"/>
    </row>
    <row r="74" spans="1:20" x14ac:dyDescent="0.25">
      <c r="T74" s="88"/>
    </row>
    <row r="75" spans="1:20" x14ac:dyDescent="0.25">
      <c r="T75" s="88"/>
    </row>
    <row r="76" spans="1:20" x14ac:dyDescent="0.25">
      <c r="T76" s="88"/>
    </row>
    <row r="77" spans="1:20" x14ac:dyDescent="0.25">
      <c r="T77" s="88"/>
    </row>
    <row r="78" spans="1:20" x14ac:dyDescent="0.25">
      <c r="T78" s="88"/>
    </row>
    <row r="79" spans="1:20" x14ac:dyDescent="0.25">
      <c r="T79" s="88"/>
    </row>
    <row r="80" spans="1:20" x14ac:dyDescent="0.25">
      <c r="T80" s="88"/>
    </row>
    <row r="81" spans="20:20" x14ac:dyDescent="0.25">
      <c r="T81" s="88"/>
    </row>
    <row r="82" spans="20:20" x14ac:dyDescent="0.25">
      <c r="T82" s="88"/>
    </row>
    <row r="83" spans="20:20" x14ac:dyDescent="0.25">
      <c r="T83" s="88"/>
    </row>
    <row r="84" spans="20:20" x14ac:dyDescent="0.25">
      <c r="T84" s="88"/>
    </row>
  </sheetData>
  <mergeCells count="5">
    <mergeCell ref="A1:J1"/>
    <mergeCell ref="A52:I52"/>
    <mergeCell ref="J52:S52"/>
    <mergeCell ref="L36:R46"/>
    <mergeCell ref="K4:T4"/>
  </mergeCell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40"/>
  <sheetViews>
    <sheetView topLeftCell="A10" zoomScale="80" zoomScaleNormal="80" workbookViewId="0">
      <selection activeCell="B33" sqref="B33"/>
    </sheetView>
  </sheetViews>
  <sheetFormatPr defaultColWidth="9.28515625" defaultRowHeight="15" x14ac:dyDescent="0.25"/>
  <cols>
    <col min="1" max="2" width="30.42578125" style="3" customWidth="1"/>
    <col min="3" max="3" width="17" style="3" customWidth="1"/>
    <col min="4" max="4" width="16.5703125" style="3" customWidth="1"/>
    <col min="5" max="5" width="31.42578125" style="3" customWidth="1"/>
    <col min="6" max="6" width="16" style="3" customWidth="1"/>
    <col min="7" max="7" width="8.7109375" style="3" customWidth="1"/>
    <col min="8" max="8" width="12.7109375" style="3" customWidth="1"/>
    <col min="9" max="9" width="17.5703125" style="3" customWidth="1"/>
    <col min="10" max="1024" width="9.28515625" style="3"/>
  </cols>
  <sheetData>
    <row r="1" spans="1:10" x14ac:dyDescent="0.25">
      <c r="A1" s="14" t="s">
        <v>223</v>
      </c>
      <c r="B1" s="14" t="s">
        <v>91</v>
      </c>
      <c r="C1" s="5" t="s">
        <v>81</v>
      </c>
      <c r="D1" s="5" t="s">
        <v>82</v>
      </c>
      <c r="E1" s="2" t="s">
        <v>83</v>
      </c>
      <c r="F1" s="15" t="s">
        <v>84</v>
      </c>
      <c r="G1" s="16" t="s">
        <v>85</v>
      </c>
      <c r="H1" s="16" t="s">
        <v>86</v>
      </c>
      <c r="I1" s="17" t="s">
        <v>87</v>
      </c>
      <c r="J1" s="18" t="s">
        <v>88</v>
      </c>
    </row>
    <row r="2" spans="1:10" x14ac:dyDescent="0.25">
      <c r="A2" s="97" t="s">
        <v>230</v>
      </c>
      <c r="B2" s="97"/>
      <c r="C2" s="97"/>
      <c r="D2" s="97"/>
      <c r="E2" s="97"/>
      <c r="F2" s="97"/>
      <c r="G2" s="97"/>
      <c r="H2" s="97"/>
      <c r="I2" s="97"/>
      <c r="J2" s="97"/>
    </row>
    <row r="3" spans="1:10" x14ac:dyDescent="0.25">
      <c r="A3" s="3" t="s">
        <v>231</v>
      </c>
      <c r="B3" s="19" t="s">
        <v>231</v>
      </c>
      <c r="C3" s="3">
        <v>1</v>
      </c>
      <c r="D3" s="3">
        <v>0</v>
      </c>
      <c r="E3" s="3" t="s">
        <v>138</v>
      </c>
      <c r="F3" s="3" t="s">
        <v>232</v>
      </c>
    </row>
    <row r="4" spans="1:10" x14ac:dyDescent="0.25">
      <c r="A4" s="3" t="s">
        <v>124</v>
      </c>
      <c r="B4" s="19" t="s">
        <v>124</v>
      </c>
      <c r="C4" s="3">
        <v>1</v>
      </c>
      <c r="D4" s="3">
        <v>1</v>
      </c>
      <c r="E4" s="3" t="s">
        <v>138</v>
      </c>
    </row>
    <row r="5" spans="1:10" x14ac:dyDescent="0.25">
      <c r="A5" s="3" t="s">
        <v>233</v>
      </c>
      <c r="B5" s="19" t="s">
        <v>233</v>
      </c>
      <c r="C5" s="3">
        <v>1</v>
      </c>
      <c r="D5" s="3">
        <v>2</v>
      </c>
      <c r="E5" s="3" t="s">
        <v>138</v>
      </c>
      <c r="F5" s="3" t="s">
        <v>232</v>
      </c>
    </row>
    <row r="6" spans="1:10" x14ac:dyDescent="0.25">
      <c r="A6" s="3" t="s">
        <v>234</v>
      </c>
      <c r="B6" s="19" t="s">
        <v>234</v>
      </c>
      <c r="C6" s="3">
        <v>1</v>
      </c>
      <c r="D6" s="3">
        <v>3</v>
      </c>
      <c r="E6" s="3" t="s">
        <v>138</v>
      </c>
    </row>
    <row r="7" spans="1:10" x14ac:dyDescent="0.25">
      <c r="A7" s="3" t="s">
        <v>235</v>
      </c>
      <c r="B7" s="19" t="s">
        <v>235</v>
      </c>
      <c r="C7" s="3">
        <v>1</v>
      </c>
      <c r="D7" s="3">
        <v>4</v>
      </c>
      <c r="E7" s="3" t="s">
        <v>138</v>
      </c>
    </row>
    <row r="8" spans="1:10" x14ac:dyDescent="0.25">
      <c r="A8" s="3" t="s">
        <v>236</v>
      </c>
      <c r="B8" s="29" t="s">
        <v>236</v>
      </c>
      <c r="C8" s="3">
        <v>1</v>
      </c>
      <c r="D8" s="3">
        <v>5</v>
      </c>
      <c r="E8" s="3" t="s">
        <v>138</v>
      </c>
    </row>
    <row r="9" spans="1:10" x14ac:dyDescent="0.25">
      <c r="A9" s="3" t="s">
        <v>237</v>
      </c>
      <c r="B9" s="3" t="s">
        <v>237</v>
      </c>
      <c r="C9" s="3">
        <v>1</v>
      </c>
      <c r="D9" s="3">
        <v>6</v>
      </c>
      <c r="E9" s="3" t="s">
        <v>138</v>
      </c>
    </row>
    <row r="10" spans="1:10" x14ac:dyDescent="0.25">
      <c r="A10" s="3" t="s">
        <v>238</v>
      </c>
      <c r="B10" s="19" t="s">
        <v>238</v>
      </c>
      <c r="C10" s="3">
        <v>1</v>
      </c>
      <c r="D10" s="3">
        <v>7</v>
      </c>
      <c r="E10" s="3" t="s">
        <v>138</v>
      </c>
    </row>
    <row r="11" spans="1:10" x14ac:dyDescent="0.25">
      <c r="A11" s="3" t="s">
        <v>239</v>
      </c>
      <c r="B11" s="19" t="s">
        <v>239</v>
      </c>
      <c r="C11" s="3">
        <v>1</v>
      </c>
      <c r="D11" s="3">
        <v>8</v>
      </c>
      <c r="E11" s="3" t="s">
        <v>138</v>
      </c>
    </row>
    <row r="12" spans="1:10" x14ac:dyDescent="0.25">
      <c r="A12" s="3" t="s">
        <v>240</v>
      </c>
      <c r="B12" s="19" t="s">
        <v>240</v>
      </c>
      <c r="C12" s="3">
        <v>1</v>
      </c>
      <c r="D12" s="3">
        <v>9</v>
      </c>
      <c r="E12" s="3" t="s">
        <v>241</v>
      </c>
    </row>
    <row r="13" spans="1:10" x14ac:dyDescent="0.25">
      <c r="A13" s="3" t="s">
        <v>242</v>
      </c>
      <c r="B13" s="19" t="s">
        <v>242</v>
      </c>
      <c r="C13" s="3">
        <v>1</v>
      </c>
      <c r="D13" s="3" t="s">
        <v>55</v>
      </c>
      <c r="E13" s="3" t="s">
        <v>241</v>
      </c>
    </row>
    <row r="14" spans="1:10" x14ac:dyDescent="0.25">
      <c r="A14" s="3" t="s">
        <v>243</v>
      </c>
      <c r="B14" s="3" t="s">
        <v>243</v>
      </c>
      <c r="C14" s="3">
        <v>1</v>
      </c>
      <c r="D14" s="3" t="s">
        <v>57</v>
      </c>
      <c r="E14" s="3" t="s">
        <v>241</v>
      </c>
    </row>
    <row r="15" spans="1:10" x14ac:dyDescent="0.25">
      <c r="A15" s="3" t="s">
        <v>244</v>
      </c>
      <c r="B15" s="3" t="s">
        <v>244</v>
      </c>
      <c r="C15" s="3">
        <v>1</v>
      </c>
      <c r="D15" s="3" t="s">
        <v>58</v>
      </c>
      <c r="E15" s="3" t="s">
        <v>241</v>
      </c>
    </row>
    <row r="16" spans="1:10" x14ac:dyDescent="0.25">
      <c r="A16" s="3" t="s">
        <v>245</v>
      </c>
      <c r="B16" s="3" t="s">
        <v>245</v>
      </c>
      <c r="C16" s="3">
        <v>1</v>
      </c>
      <c r="D16" s="3" t="s">
        <v>60</v>
      </c>
      <c r="E16" s="3" t="s">
        <v>241</v>
      </c>
    </row>
    <row r="17" spans="1:5" x14ac:dyDescent="0.25">
      <c r="A17" s="3" t="s">
        <v>246</v>
      </c>
      <c r="B17" s="19" t="s">
        <v>246</v>
      </c>
      <c r="C17" s="3">
        <v>1</v>
      </c>
      <c r="D17" s="3" t="s">
        <v>64</v>
      </c>
      <c r="E17" s="3" t="s">
        <v>241</v>
      </c>
    </row>
    <row r="18" spans="1:5" x14ac:dyDescent="0.25">
      <c r="A18" s="3" t="s">
        <v>247</v>
      </c>
      <c r="B18" s="19" t="s">
        <v>247</v>
      </c>
      <c r="C18" s="3">
        <v>1</v>
      </c>
      <c r="D18" s="3" t="s">
        <v>66</v>
      </c>
      <c r="E18" s="3" t="s">
        <v>241</v>
      </c>
    </row>
    <row r="19" spans="1:5" x14ac:dyDescent="0.25">
      <c r="A19" s="3" t="s">
        <v>248</v>
      </c>
      <c r="B19" s="19" t="s">
        <v>248</v>
      </c>
      <c r="C19" s="3">
        <v>2</v>
      </c>
      <c r="D19" s="3">
        <v>0</v>
      </c>
      <c r="E19" s="3" t="s">
        <v>241</v>
      </c>
    </row>
    <row r="20" spans="1:5" x14ac:dyDescent="0.25">
      <c r="A20" s="3" t="s">
        <v>249</v>
      </c>
      <c r="B20" s="19" t="s">
        <v>249</v>
      </c>
      <c r="C20" s="3">
        <v>2</v>
      </c>
      <c r="D20" s="3">
        <v>1</v>
      </c>
      <c r="E20" s="3" t="s">
        <v>241</v>
      </c>
    </row>
    <row r="21" spans="1:5" x14ac:dyDescent="0.25">
      <c r="A21" s="3" t="s">
        <v>250</v>
      </c>
      <c r="B21" s="19" t="s">
        <v>250</v>
      </c>
      <c r="C21" s="3">
        <v>2</v>
      </c>
      <c r="D21" s="3">
        <v>2</v>
      </c>
      <c r="E21" s="3" t="s">
        <v>241</v>
      </c>
    </row>
    <row r="22" spans="1:5" x14ac:dyDescent="0.25">
      <c r="A22" s="3" t="s">
        <v>251</v>
      </c>
      <c r="B22" s="19" t="s">
        <v>251</v>
      </c>
      <c r="C22" s="3">
        <v>2</v>
      </c>
      <c r="D22" s="3">
        <v>3</v>
      </c>
      <c r="E22" s="3" t="s">
        <v>241</v>
      </c>
    </row>
    <row r="23" spans="1:5" x14ac:dyDescent="0.25">
      <c r="A23" s="3" t="s">
        <v>252</v>
      </c>
      <c r="B23" s="19" t="s">
        <v>252</v>
      </c>
      <c r="C23" s="3">
        <v>2</v>
      </c>
      <c r="D23" s="3">
        <v>4</v>
      </c>
      <c r="E23" s="3" t="s">
        <v>241</v>
      </c>
    </row>
    <row r="24" spans="1:5" x14ac:dyDescent="0.25">
      <c r="A24" s="3" t="s">
        <v>253</v>
      </c>
      <c r="B24" s="3" t="s">
        <v>253</v>
      </c>
      <c r="C24" s="3">
        <v>2</v>
      </c>
      <c r="D24" s="3">
        <v>5</v>
      </c>
      <c r="E24" s="3" t="s">
        <v>241</v>
      </c>
    </row>
    <row r="25" spans="1:5" x14ac:dyDescent="0.25">
      <c r="A25" s="3" t="s">
        <v>254</v>
      </c>
      <c r="B25" s="3" t="s">
        <v>254</v>
      </c>
      <c r="C25" s="3">
        <v>2</v>
      </c>
      <c r="D25" s="3">
        <v>6</v>
      </c>
      <c r="E25" s="3" t="s">
        <v>241</v>
      </c>
    </row>
    <row r="26" spans="1:5" x14ac:dyDescent="0.25">
      <c r="A26" s="3" t="s">
        <v>255</v>
      </c>
      <c r="B26" s="3" t="s">
        <v>255</v>
      </c>
      <c r="C26" s="3">
        <v>2</v>
      </c>
      <c r="D26" s="3">
        <v>7</v>
      </c>
      <c r="E26" s="3" t="s">
        <v>241</v>
      </c>
    </row>
    <row r="27" spans="1:5" x14ac:dyDescent="0.25">
      <c r="A27" s="3" t="s">
        <v>256</v>
      </c>
      <c r="B27" s="19" t="s">
        <v>256</v>
      </c>
      <c r="C27" s="3">
        <v>2</v>
      </c>
      <c r="D27" s="3">
        <v>8</v>
      </c>
      <c r="E27" s="3" t="s">
        <v>241</v>
      </c>
    </row>
    <row r="28" spans="1:5" x14ac:dyDescent="0.25">
      <c r="A28" s="3" t="s">
        <v>257</v>
      </c>
      <c r="B28" s="29" t="s">
        <v>257</v>
      </c>
      <c r="C28" s="3">
        <v>2</v>
      </c>
      <c r="D28" s="3">
        <v>9</v>
      </c>
      <c r="E28" s="3" t="s">
        <v>138</v>
      </c>
    </row>
    <row r="29" spans="1:5" x14ac:dyDescent="0.25">
      <c r="A29" s="3" t="s">
        <v>258</v>
      </c>
      <c r="B29" s="3" t="s">
        <v>258</v>
      </c>
      <c r="C29" s="3">
        <v>2</v>
      </c>
      <c r="D29" s="3" t="s">
        <v>55</v>
      </c>
      <c r="E29" s="3" t="s">
        <v>138</v>
      </c>
    </row>
    <row r="30" spans="1:5" x14ac:dyDescent="0.25">
      <c r="A30" s="3" t="s">
        <v>259</v>
      </c>
      <c r="B30" s="29" t="s">
        <v>259</v>
      </c>
      <c r="C30" s="3">
        <v>2</v>
      </c>
      <c r="D30" s="3" t="s">
        <v>57</v>
      </c>
      <c r="E30" s="3" t="s">
        <v>138</v>
      </c>
    </row>
    <row r="31" spans="1:5" x14ac:dyDescent="0.25">
      <c r="A31" s="3" t="s">
        <v>260</v>
      </c>
      <c r="B31" s="19" t="s">
        <v>260</v>
      </c>
      <c r="C31" s="3">
        <v>2</v>
      </c>
      <c r="D31" s="3" t="s">
        <v>58</v>
      </c>
      <c r="E31" s="3" t="s">
        <v>138</v>
      </c>
    </row>
    <row r="32" spans="1:5" x14ac:dyDescent="0.25">
      <c r="A32" s="3" t="s">
        <v>261</v>
      </c>
      <c r="B32" s="29" t="s">
        <v>261</v>
      </c>
      <c r="C32" s="3">
        <v>2</v>
      </c>
      <c r="D32" s="3" t="s">
        <v>60</v>
      </c>
      <c r="E32" s="3" t="s">
        <v>138</v>
      </c>
    </row>
    <row r="33" spans="1:5" x14ac:dyDescent="0.25">
      <c r="A33" s="3" t="s">
        <v>262</v>
      </c>
      <c r="B33" s="3" t="s">
        <v>262</v>
      </c>
      <c r="C33" s="3">
        <v>2</v>
      </c>
      <c r="D33" s="3" t="s">
        <v>64</v>
      </c>
      <c r="E33" s="3" t="s">
        <v>138</v>
      </c>
    </row>
    <row r="34" spans="1:5" x14ac:dyDescent="0.25">
      <c r="A34" s="3" t="s">
        <v>263</v>
      </c>
      <c r="B34" s="3" t="s">
        <v>263</v>
      </c>
      <c r="C34" s="3">
        <v>2</v>
      </c>
      <c r="D34" s="3" t="s">
        <v>66</v>
      </c>
      <c r="E34" s="3" t="s">
        <v>138</v>
      </c>
    </row>
    <row r="35" spans="1:5" x14ac:dyDescent="0.25">
      <c r="A35" s="3" t="s">
        <v>264</v>
      </c>
      <c r="B35" s="29" t="s">
        <v>264</v>
      </c>
      <c r="C35" s="3">
        <v>3</v>
      </c>
      <c r="D35" s="3">
        <v>0</v>
      </c>
      <c r="E35" s="3" t="s">
        <v>138</v>
      </c>
    </row>
    <row r="36" spans="1:5" x14ac:dyDescent="0.25">
      <c r="A36" s="3" t="s">
        <v>265</v>
      </c>
      <c r="B36" s="3" t="s">
        <v>265</v>
      </c>
      <c r="C36" s="3">
        <v>3</v>
      </c>
      <c r="D36" s="3">
        <v>1</v>
      </c>
      <c r="E36" s="3" t="s">
        <v>138</v>
      </c>
    </row>
    <row r="37" spans="1:5" x14ac:dyDescent="0.25">
      <c r="A37" s="3" t="s">
        <v>266</v>
      </c>
      <c r="B37" s="29" t="s">
        <v>266</v>
      </c>
      <c r="C37" s="3">
        <v>3</v>
      </c>
      <c r="D37" s="3">
        <v>2</v>
      </c>
      <c r="E37" s="3" t="s">
        <v>138</v>
      </c>
    </row>
    <row r="38" spans="1:5" x14ac:dyDescent="0.25">
      <c r="A38" s="3" t="s">
        <v>267</v>
      </c>
      <c r="B38" s="29" t="s">
        <v>267</v>
      </c>
      <c r="C38" s="3">
        <v>3</v>
      </c>
      <c r="D38" s="3">
        <v>3</v>
      </c>
      <c r="E38" s="3" t="s">
        <v>138</v>
      </c>
    </row>
    <row r="39" spans="1:5" x14ac:dyDescent="0.25">
      <c r="A39" s="3" t="s">
        <v>268</v>
      </c>
      <c r="B39" s="29" t="s">
        <v>268</v>
      </c>
      <c r="C39" s="3">
        <v>3</v>
      </c>
      <c r="D39" s="3">
        <v>4</v>
      </c>
      <c r="E39" s="3" t="s">
        <v>138</v>
      </c>
    </row>
    <row r="40" spans="1:5" x14ac:dyDescent="0.25">
      <c r="A40" s="3" t="s">
        <v>269</v>
      </c>
      <c r="B40" s="3" t="s">
        <v>269</v>
      </c>
      <c r="C40" s="3">
        <v>3</v>
      </c>
      <c r="D40" s="3">
        <v>5</v>
      </c>
      <c r="E40" s="3" t="s">
        <v>138</v>
      </c>
    </row>
  </sheetData>
  <mergeCells count="1">
    <mergeCell ref="A2:J2"/>
  </mergeCell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530BA-7F6B-49D9-92E7-8EEB5DB9580B}">
  <dimension ref="A1:AMM125"/>
  <sheetViews>
    <sheetView tabSelected="1" zoomScale="98" zoomScaleNormal="100" workbookViewId="0">
      <pane xSplit="1" ySplit="3" topLeftCell="B57" activePane="bottomRight" state="frozen"/>
      <selection pane="topRight" activeCell="B1" sqref="B1"/>
      <selection pane="bottomLeft" activeCell="A4" sqref="A4"/>
      <selection pane="bottomRight" activeCell="D69" sqref="D69"/>
    </sheetView>
  </sheetViews>
  <sheetFormatPr defaultColWidth="8.5703125" defaultRowHeight="15" x14ac:dyDescent="0.25"/>
  <cols>
    <col min="1" max="1" width="35" style="3" customWidth="1"/>
    <col min="2" max="2" width="9.28515625" style="1" customWidth="1"/>
    <col min="3" max="3" width="11.5703125" style="1" customWidth="1"/>
    <col min="4" max="4" width="31.42578125" style="1" bestFit="1" customWidth="1"/>
    <col min="5" max="5" width="10.28515625" style="1" bestFit="1" customWidth="1"/>
    <col min="6" max="6" width="9.7109375" style="1" bestFit="1" customWidth="1"/>
    <col min="7" max="7" width="14.7109375" style="1" customWidth="1"/>
    <col min="8" max="8" width="17.5703125" style="1" customWidth="1"/>
    <col min="9" max="9" width="4.7109375" style="1" customWidth="1"/>
    <col min="10" max="10" width="7" style="1" bestFit="1" customWidth="1"/>
    <col min="11" max="11" width="69.5703125" style="3" bestFit="1" customWidth="1"/>
    <col min="12" max="12" width="17" style="1" bestFit="1" customWidth="1"/>
    <col min="13" max="13" width="12.5703125" style="1" bestFit="1" customWidth="1"/>
    <col min="14" max="14" width="14.28515625" style="1" bestFit="1" customWidth="1"/>
    <col min="15" max="15" width="12.7109375" style="1" bestFit="1" customWidth="1"/>
    <col min="16" max="16384" width="8.5703125" style="1"/>
  </cols>
  <sheetData>
    <row r="1" spans="1:20" x14ac:dyDescent="0.25">
      <c r="A1" s="100" t="s">
        <v>780</v>
      </c>
      <c r="B1" s="100"/>
      <c r="C1" s="100"/>
      <c r="D1" s="100"/>
      <c r="E1" s="100"/>
      <c r="F1" s="100"/>
      <c r="G1" s="100"/>
      <c r="H1" s="100"/>
      <c r="I1" s="100"/>
      <c r="J1" s="100"/>
    </row>
    <row r="2" spans="1:20" x14ac:dyDescent="0.25">
      <c r="A2" s="3" t="s">
        <v>785</v>
      </c>
      <c r="J2" s="3"/>
      <c r="K2" s="1"/>
    </row>
    <row r="3" spans="1:20" x14ac:dyDescent="0.25">
      <c r="A3" s="14" t="s">
        <v>779</v>
      </c>
      <c r="B3" s="102" t="s">
        <v>496</v>
      </c>
      <c r="C3" s="103"/>
      <c r="D3" s="2" t="s">
        <v>83</v>
      </c>
      <c r="E3" s="15" t="s">
        <v>84</v>
      </c>
      <c r="F3" s="16" t="s">
        <v>85</v>
      </c>
      <c r="G3" s="16" t="s">
        <v>86</v>
      </c>
      <c r="H3" s="17" t="s">
        <v>87</v>
      </c>
      <c r="I3" s="18" t="s">
        <v>88</v>
      </c>
      <c r="J3" s="44" t="s">
        <v>487</v>
      </c>
      <c r="K3" s="3" t="s">
        <v>135</v>
      </c>
      <c r="L3" s="3" t="s">
        <v>351</v>
      </c>
      <c r="M3" s="3" t="s">
        <v>357</v>
      </c>
      <c r="N3" s="3" t="s">
        <v>352</v>
      </c>
      <c r="O3" s="3" t="s">
        <v>355</v>
      </c>
      <c r="P3" s="3"/>
      <c r="Q3" s="3"/>
      <c r="R3" s="3"/>
      <c r="S3" s="3"/>
      <c r="T3" s="3"/>
    </row>
    <row r="4" spans="1:20" customFormat="1" x14ac:dyDescent="0.25">
      <c r="A4" s="43" t="s">
        <v>89</v>
      </c>
      <c r="B4" s="60"/>
      <c r="C4" s="60"/>
      <c r="D4" s="60"/>
      <c r="E4" s="60"/>
      <c r="F4" s="60"/>
      <c r="G4" s="60"/>
      <c r="H4" s="60"/>
      <c r="I4" s="60"/>
      <c r="J4" s="82"/>
      <c r="K4" s="104"/>
      <c r="L4" s="105"/>
      <c r="M4" s="105"/>
      <c r="N4" s="105"/>
      <c r="O4" s="105"/>
      <c r="P4" s="105"/>
      <c r="Q4" s="105"/>
      <c r="R4" s="105"/>
      <c r="S4" s="105"/>
      <c r="T4" s="106"/>
    </row>
    <row r="5" spans="1:20" customFormat="1" x14ac:dyDescent="0.25">
      <c r="A5" s="41"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c r="L5" s="3"/>
      <c r="M5" s="3"/>
      <c r="N5" s="3"/>
      <c r="O5" s="3"/>
      <c r="P5" s="3"/>
      <c r="Q5" s="3"/>
      <c r="R5" s="3"/>
      <c r="S5" s="3"/>
      <c r="T5" s="3"/>
    </row>
    <row r="6" spans="1:20" customFormat="1" x14ac:dyDescent="0.25">
      <c r="A6" s="41"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3"/>
      <c r="L6" s="3"/>
      <c r="M6" s="3"/>
      <c r="N6" s="3"/>
      <c r="O6" s="3"/>
      <c r="P6" s="3"/>
      <c r="Q6" s="3"/>
      <c r="R6" s="3"/>
      <c r="S6" s="3"/>
      <c r="T6" s="3"/>
    </row>
    <row r="7" spans="1:20" customFormat="1" x14ac:dyDescent="0.25">
      <c r="A7" s="41"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c r="K7" s="3" t="s">
        <v>585</v>
      </c>
      <c r="L7" s="3"/>
      <c r="M7" s="3"/>
      <c r="N7" s="3"/>
      <c r="O7" s="3"/>
      <c r="P7" s="3"/>
      <c r="Q7" s="3"/>
      <c r="R7" s="3"/>
      <c r="S7" s="3"/>
      <c r="T7" s="3"/>
    </row>
    <row r="8" spans="1:20" customFormat="1" x14ac:dyDescent="0.25">
      <c r="A8" s="41"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c r="K8" s="3"/>
      <c r="L8" s="3"/>
      <c r="M8" s="3"/>
      <c r="N8" s="3"/>
      <c r="O8" s="3"/>
      <c r="P8" s="3"/>
      <c r="Q8" s="3"/>
      <c r="R8" s="3"/>
      <c r="S8" s="3"/>
      <c r="T8" s="3"/>
    </row>
    <row r="9" spans="1:20" customFormat="1" x14ac:dyDescent="0.25">
      <c r="A9" s="41"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94</v>
      </c>
      <c r="J9" s="3"/>
      <c r="K9" s="3" t="s">
        <v>586</v>
      </c>
      <c r="L9" s="3"/>
      <c r="M9" s="3"/>
      <c r="N9" s="3"/>
      <c r="O9" s="3"/>
      <c r="P9" s="3"/>
      <c r="Q9" s="3"/>
      <c r="R9" s="3"/>
      <c r="S9" s="3"/>
      <c r="T9" s="3"/>
    </row>
    <row r="10" spans="1:20" customFormat="1" x14ac:dyDescent="0.25">
      <c r="A10" s="46"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3"/>
      <c r="L10" s="3"/>
      <c r="M10" s="3"/>
      <c r="N10" s="3"/>
      <c r="O10" s="3"/>
      <c r="P10" s="3"/>
      <c r="Q10" s="3"/>
      <c r="R10" s="3"/>
      <c r="S10" s="3"/>
      <c r="T10" s="3"/>
    </row>
    <row r="11" spans="1:20" customFormat="1" ht="409.5" x14ac:dyDescent="0.25">
      <c r="A11" s="41"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t="s">
        <v>508</v>
      </c>
      <c r="K11" s="24" t="s">
        <v>734</v>
      </c>
      <c r="L11" s="3"/>
      <c r="M11" s="3"/>
      <c r="N11" s="3"/>
      <c r="O11" s="3"/>
      <c r="P11" s="3"/>
      <c r="Q11" s="3"/>
      <c r="R11" s="3"/>
      <c r="S11" s="3"/>
      <c r="T11" s="3"/>
    </row>
    <row r="12" spans="1:20" customFormat="1" x14ac:dyDescent="0.25">
      <c r="A12" s="46"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3"/>
      <c r="K12" s="3"/>
      <c r="L12" s="3"/>
      <c r="M12" s="3"/>
      <c r="N12" s="3"/>
      <c r="O12" s="3"/>
      <c r="P12" s="3"/>
      <c r="Q12" s="3"/>
      <c r="R12" s="3"/>
      <c r="S12" s="3"/>
      <c r="T12" s="3"/>
    </row>
    <row r="13" spans="1:20" customFormat="1" x14ac:dyDescent="0.25">
      <c r="A13" s="47"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3"/>
      <c r="K13" s="3"/>
      <c r="L13" s="3"/>
      <c r="M13" s="3"/>
      <c r="N13" s="3"/>
      <c r="O13" s="3"/>
      <c r="P13" s="3"/>
      <c r="Q13" s="3"/>
      <c r="R13" s="3"/>
      <c r="S13" s="3"/>
      <c r="T13" s="3"/>
    </row>
    <row r="14" spans="1:20" customFormat="1" x14ac:dyDescent="0.25">
      <c r="A14" s="41"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3"/>
      <c r="K14" s="3" t="s">
        <v>640</v>
      </c>
      <c r="L14" s="3"/>
      <c r="M14" s="3"/>
      <c r="N14" s="3"/>
      <c r="O14" s="3"/>
      <c r="P14" s="3"/>
      <c r="Q14" s="3"/>
      <c r="R14" s="3"/>
      <c r="S14" s="3"/>
      <c r="T14" s="3"/>
    </row>
    <row r="15" spans="1:20" customFormat="1" x14ac:dyDescent="0.25">
      <c r="A15" s="41"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3"/>
      <c r="K15" s="3" t="s">
        <v>641</v>
      </c>
      <c r="L15" s="3"/>
      <c r="M15" s="3"/>
      <c r="N15" s="3"/>
      <c r="O15" s="3"/>
      <c r="P15" s="3"/>
      <c r="Q15" s="3"/>
      <c r="R15" s="3"/>
      <c r="S15" s="3"/>
      <c r="T15" s="3"/>
    </row>
    <row r="16" spans="1:20" customFormat="1" x14ac:dyDescent="0.25">
      <c r="A16" s="41"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3"/>
      <c r="K16" s="3" t="s">
        <v>644</v>
      </c>
      <c r="L16" s="3"/>
      <c r="M16" s="3"/>
      <c r="N16" s="3"/>
      <c r="O16" s="3"/>
      <c r="P16" s="3"/>
      <c r="Q16" s="3"/>
      <c r="R16" s="3"/>
      <c r="S16" s="3"/>
      <c r="T16" s="3"/>
    </row>
    <row r="17" spans="1:20" customFormat="1" x14ac:dyDescent="0.25">
      <c r="A17" s="41"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3"/>
      <c r="K17" s="3" t="s">
        <v>645</v>
      </c>
      <c r="L17" s="3"/>
      <c r="M17" s="3"/>
      <c r="N17" s="3"/>
      <c r="O17" s="3"/>
      <c r="P17" s="3"/>
      <c r="Q17" s="3"/>
      <c r="R17" s="3"/>
      <c r="S17" s="3"/>
      <c r="T17" s="3"/>
    </row>
    <row r="18" spans="1:20" customFormat="1" x14ac:dyDescent="0.25">
      <c r="A18" s="41"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3"/>
      <c r="K18" s="3" t="s">
        <v>646</v>
      </c>
      <c r="L18" s="3"/>
      <c r="M18" s="3"/>
      <c r="N18" s="3"/>
      <c r="O18" s="3"/>
      <c r="P18" s="3"/>
      <c r="Q18" s="3"/>
      <c r="R18" s="3"/>
      <c r="S18" s="3"/>
      <c r="T18" s="3"/>
    </row>
    <row r="19" spans="1:20" customFormat="1" x14ac:dyDescent="0.25">
      <c r="A19" s="41"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3"/>
      <c r="K19" s="3" t="s">
        <v>647</v>
      </c>
      <c r="L19" s="3"/>
      <c r="M19" s="3"/>
      <c r="N19" s="3"/>
      <c r="O19" s="3"/>
      <c r="P19" s="3"/>
      <c r="Q19" s="3"/>
      <c r="R19" s="3"/>
      <c r="S19" s="3"/>
      <c r="T19" s="3"/>
    </row>
    <row r="20" spans="1:20" customFormat="1" x14ac:dyDescent="0.25">
      <c r="A20" s="41"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v>0</v>
      </c>
      <c r="G20" s="3">
        <v>100</v>
      </c>
      <c r="H20" s="3" t="s">
        <v>649</v>
      </c>
      <c r="I20" s="3" t="str">
        <f>IF('DATI LOGICI'!I18&lt;&gt;"",'DATI LOGICI'!I18,"")</f>
        <v>R</v>
      </c>
      <c r="J20" s="3"/>
      <c r="K20" s="3" t="s">
        <v>648</v>
      </c>
      <c r="L20" s="3"/>
      <c r="M20" s="3"/>
      <c r="N20" s="3"/>
      <c r="O20" s="3"/>
      <c r="P20" s="3"/>
      <c r="Q20" s="3"/>
      <c r="R20" s="3"/>
      <c r="S20" s="3"/>
      <c r="T20" s="3"/>
    </row>
    <row r="21" spans="1:20" customFormat="1" x14ac:dyDescent="0.25">
      <c r="A21" s="49"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3"/>
      <c r="K21" s="3"/>
      <c r="L21" s="3"/>
      <c r="M21" s="3"/>
      <c r="N21" s="3"/>
      <c r="O21" s="3"/>
      <c r="P21" s="3"/>
      <c r="Q21" s="3"/>
      <c r="R21" s="3"/>
      <c r="S21" s="3"/>
      <c r="T21" s="3"/>
    </row>
    <row r="22" spans="1:20" customFormat="1" x14ac:dyDescent="0.25">
      <c r="A22" s="49"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3"/>
      <c r="K22" s="3"/>
      <c r="L22" s="3"/>
      <c r="M22" s="3"/>
      <c r="N22" s="3"/>
      <c r="O22" s="3"/>
      <c r="P22" s="3"/>
      <c r="Q22" s="3"/>
      <c r="R22" s="3"/>
      <c r="S22" s="3"/>
      <c r="T22" s="3"/>
    </row>
    <row r="23" spans="1:20" customFormat="1" x14ac:dyDescent="0.25">
      <c r="A23" s="49"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3"/>
      <c r="K23" s="3"/>
      <c r="L23" s="3"/>
      <c r="M23" s="3"/>
      <c r="N23" s="3"/>
      <c r="O23" s="3"/>
      <c r="P23" s="3"/>
      <c r="Q23" s="3"/>
      <c r="R23" s="3"/>
      <c r="S23" s="3"/>
      <c r="T23" s="3"/>
    </row>
    <row r="24" spans="1:20" customFormat="1" x14ac:dyDescent="0.25">
      <c r="A24" s="49"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3"/>
      <c r="K24" s="3"/>
      <c r="L24" s="3"/>
      <c r="M24" s="3"/>
      <c r="N24" s="3"/>
      <c r="O24" s="3"/>
      <c r="P24" s="3"/>
      <c r="Q24" s="3"/>
      <c r="R24" s="3"/>
      <c r="S24" s="3"/>
      <c r="T24" s="3"/>
    </row>
    <row r="25" spans="1:20" customFormat="1" x14ac:dyDescent="0.25">
      <c r="A25" s="49"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3"/>
      <c r="K25" s="3"/>
      <c r="L25" s="3"/>
      <c r="M25" s="3"/>
      <c r="N25" s="3"/>
      <c r="O25" s="3"/>
      <c r="P25" s="3"/>
      <c r="Q25" s="3"/>
      <c r="R25" s="3"/>
      <c r="S25" s="3"/>
      <c r="T25" s="3"/>
    </row>
    <row r="26" spans="1:20" customFormat="1" x14ac:dyDescent="0.25">
      <c r="A26" s="47"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3"/>
      <c r="K26" s="3"/>
      <c r="L26" s="3"/>
      <c r="M26" s="3"/>
      <c r="N26" s="3"/>
      <c r="O26" s="3"/>
      <c r="P26" s="3"/>
      <c r="Q26" s="3"/>
      <c r="R26" s="3"/>
      <c r="S26" s="3"/>
      <c r="T26" s="3"/>
    </row>
    <row r="27" spans="1:20" customFormat="1" x14ac:dyDescent="0.25">
      <c r="A27" s="47"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J27" s="3"/>
      <c r="K27" s="3"/>
      <c r="L27" s="3"/>
      <c r="M27" s="3"/>
      <c r="N27" s="3"/>
      <c r="O27" s="3"/>
      <c r="P27" s="3"/>
      <c r="Q27" s="3"/>
      <c r="R27" s="3"/>
      <c r="S27" s="3"/>
      <c r="T27" s="3"/>
    </row>
    <row r="28" spans="1:20" x14ac:dyDescent="0.25">
      <c r="B28" s="3"/>
      <c r="C28" s="3"/>
      <c r="D28" s="3"/>
      <c r="E28" s="3"/>
      <c r="F28" s="3"/>
      <c r="G28" s="3"/>
      <c r="H28" s="3"/>
      <c r="I28" s="3"/>
      <c r="J28" s="3"/>
      <c r="L28" s="3"/>
      <c r="M28" s="3"/>
      <c r="N28" s="3"/>
      <c r="O28" s="3"/>
      <c r="P28" s="3"/>
      <c r="Q28" s="3"/>
      <c r="R28" s="3"/>
      <c r="S28" s="3"/>
      <c r="T28" s="3"/>
    </row>
    <row r="29" spans="1:20" x14ac:dyDescent="0.25">
      <c r="A29" s="43" t="s">
        <v>507</v>
      </c>
      <c r="B29" s="60"/>
      <c r="C29" s="60"/>
      <c r="D29" s="60"/>
      <c r="E29" s="60"/>
      <c r="F29" s="60"/>
      <c r="G29" s="60"/>
      <c r="H29" s="60"/>
      <c r="I29" s="60"/>
      <c r="J29" s="60"/>
      <c r="K29" s="104"/>
      <c r="L29" s="105"/>
      <c r="M29" s="105"/>
      <c r="N29" s="105"/>
      <c r="O29" s="105"/>
      <c r="P29" s="105"/>
      <c r="Q29" s="105"/>
      <c r="R29" s="105"/>
      <c r="S29" s="105"/>
      <c r="T29" s="106"/>
    </row>
    <row r="30" spans="1:20" ht="30" x14ac:dyDescent="0.25">
      <c r="A30" s="19" t="s">
        <v>781</v>
      </c>
      <c r="B30" s="3">
        <v>80</v>
      </c>
      <c r="C30" s="81" t="str">
        <f>DEC2HEX(0)</f>
        <v>0</v>
      </c>
      <c r="D30" s="3" t="s">
        <v>138</v>
      </c>
      <c r="E30" s="3"/>
      <c r="F30" s="3"/>
      <c r="G30" s="3"/>
      <c r="H30" s="3"/>
      <c r="I30" s="3" t="s">
        <v>104</v>
      </c>
      <c r="J30" s="3"/>
      <c r="K30" s="10" t="s">
        <v>589</v>
      </c>
      <c r="L30" s="3"/>
      <c r="M30" s="3"/>
      <c r="N30" s="3"/>
      <c r="O30" s="3"/>
      <c r="P30" s="3"/>
      <c r="Q30" s="3"/>
      <c r="R30" s="3"/>
      <c r="S30" s="3"/>
      <c r="T30" s="3"/>
    </row>
    <row r="31" spans="1:20" ht="30" x14ac:dyDescent="0.25">
      <c r="A31" s="19" t="s">
        <v>782</v>
      </c>
      <c r="B31" s="3">
        <v>80</v>
      </c>
      <c r="C31" s="81" t="str">
        <f>DEC2HEX(HEX2DEC(C30)+1)</f>
        <v>1</v>
      </c>
      <c r="D31" s="3" t="s">
        <v>138</v>
      </c>
      <c r="E31" s="3"/>
      <c r="F31" s="3"/>
      <c r="G31" s="3"/>
      <c r="H31" s="3"/>
      <c r="I31" s="3" t="s">
        <v>104</v>
      </c>
      <c r="J31" s="3"/>
      <c r="K31" s="10" t="s">
        <v>589</v>
      </c>
      <c r="L31" s="3"/>
      <c r="M31" s="3"/>
      <c r="N31" s="3"/>
      <c r="O31" s="3"/>
      <c r="P31" s="3"/>
      <c r="Q31" s="3"/>
      <c r="R31" s="3"/>
      <c r="S31" s="3"/>
      <c r="T31" s="3"/>
    </row>
    <row r="32" spans="1:20" ht="30" x14ac:dyDescent="0.25">
      <c r="A32" s="19" t="s">
        <v>783</v>
      </c>
      <c r="B32" s="3">
        <v>80</v>
      </c>
      <c r="C32" s="81" t="str">
        <f t="shared" ref="C32:C95" si="0">DEC2HEX(HEX2DEC(C31)+1)</f>
        <v>2</v>
      </c>
      <c r="D32" s="3" t="s">
        <v>138</v>
      </c>
      <c r="E32" s="3"/>
      <c r="F32" s="3"/>
      <c r="G32" s="3"/>
      <c r="H32" s="3"/>
      <c r="I32" s="3" t="s">
        <v>104</v>
      </c>
      <c r="J32" s="3"/>
      <c r="K32" s="10" t="s">
        <v>589</v>
      </c>
      <c r="L32" s="3"/>
      <c r="M32" s="3"/>
      <c r="N32" s="3"/>
      <c r="O32" s="3"/>
      <c r="P32" s="3"/>
      <c r="Q32" s="3"/>
      <c r="R32" s="3"/>
      <c r="S32" s="3"/>
      <c r="T32" s="3"/>
    </row>
    <row r="33" spans="1:1027" x14ac:dyDescent="0.25">
      <c r="A33" s="19" t="s">
        <v>224</v>
      </c>
      <c r="B33" s="3">
        <v>80</v>
      </c>
      <c r="C33" s="81" t="str">
        <f t="shared" si="0"/>
        <v>3</v>
      </c>
      <c r="D33" s="3" t="s">
        <v>141</v>
      </c>
      <c r="E33" s="3"/>
      <c r="F33" s="3">
        <v>0</v>
      </c>
      <c r="G33" s="3">
        <v>1</v>
      </c>
      <c r="H33" s="3"/>
      <c r="I33" s="3" t="s">
        <v>94</v>
      </c>
      <c r="J33" s="3"/>
      <c r="K33" s="3" t="s">
        <v>654</v>
      </c>
      <c r="L33" s="3"/>
      <c r="M33" s="3"/>
      <c r="N33" s="3"/>
      <c r="O33" s="3"/>
      <c r="P33" s="3"/>
      <c r="Q33" s="3"/>
      <c r="R33" s="3"/>
      <c r="S33" s="3"/>
      <c r="T33" s="3"/>
    </row>
    <row r="34" spans="1:1027" x14ac:dyDescent="0.25">
      <c r="A34" s="85" t="s">
        <v>786</v>
      </c>
      <c r="B34" s="3">
        <v>80</v>
      </c>
      <c r="C34" s="81" t="str">
        <f t="shared" si="0"/>
        <v>4</v>
      </c>
      <c r="D34" s="3"/>
      <c r="E34" s="3"/>
      <c r="F34" s="3"/>
      <c r="G34" s="3"/>
      <c r="H34" s="3"/>
      <c r="I34" s="3"/>
      <c r="J34" s="3"/>
      <c r="L34" s="3"/>
    </row>
    <row r="35" spans="1:1027" x14ac:dyDescent="0.25">
      <c r="A35" s="85" t="s">
        <v>786</v>
      </c>
      <c r="B35" s="3">
        <v>80</v>
      </c>
      <c r="C35" s="81" t="str">
        <f t="shared" si="0"/>
        <v>5</v>
      </c>
      <c r="D35" s="3"/>
      <c r="E35" s="3"/>
      <c r="F35" s="3"/>
      <c r="G35" s="3"/>
      <c r="H35" s="3"/>
      <c r="I35" s="3"/>
      <c r="J35" s="3"/>
      <c r="L35" s="3"/>
    </row>
    <row r="36" spans="1:1027" x14ac:dyDescent="0.25">
      <c r="A36" s="19" t="s">
        <v>309</v>
      </c>
      <c r="B36" s="3">
        <v>80</v>
      </c>
      <c r="C36" s="81" t="str">
        <f t="shared" si="0"/>
        <v>6</v>
      </c>
      <c r="D36" s="3" t="s">
        <v>138</v>
      </c>
      <c r="E36" s="3"/>
      <c r="F36" s="3"/>
      <c r="G36" s="3"/>
      <c r="H36" s="3"/>
      <c r="I36" s="3"/>
      <c r="J36" s="3"/>
      <c r="K36" s="3" t="s">
        <v>310</v>
      </c>
      <c r="L36" s="3"/>
      <c r="M36" s="3"/>
      <c r="N36" s="3"/>
      <c r="O36" s="3"/>
      <c r="P36" s="3"/>
      <c r="Q36" s="3"/>
      <c r="R36" s="3"/>
      <c r="S36" s="3"/>
      <c r="T36" s="3"/>
    </row>
    <row r="37" spans="1:1027" x14ac:dyDescent="0.25">
      <c r="A37" s="19" t="s">
        <v>847</v>
      </c>
      <c r="B37" s="3">
        <v>80</v>
      </c>
      <c r="C37" s="81" t="str">
        <f t="shared" si="0"/>
        <v>7</v>
      </c>
      <c r="D37" s="3" t="s">
        <v>241</v>
      </c>
      <c r="F37" s="3">
        <v>0</v>
      </c>
      <c r="G37" s="3">
        <v>65535</v>
      </c>
      <c r="H37" s="3" t="s">
        <v>643</v>
      </c>
      <c r="I37" s="3" t="s">
        <v>88</v>
      </c>
      <c r="K37" s="3" t="s">
        <v>668</v>
      </c>
      <c r="L37" s="3"/>
      <c r="M37" s="3"/>
      <c r="N37" s="3"/>
      <c r="O37" s="3"/>
      <c r="P37" s="3"/>
      <c r="Q37" s="3"/>
      <c r="R37" s="3"/>
      <c r="S37" s="3"/>
      <c r="T37" s="3"/>
    </row>
    <row r="38" spans="1:1027" x14ac:dyDescent="0.25">
      <c r="A38" s="19" t="s">
        <v>846</v>
      </c>
      <c r="B38" s="3">
        <v>80</v>
      </c>
      <c r="C38" s="81" t="str">
        <f t="shared" si="0"/>
        <v>8</v>
      </c>
      <c r="D38" s="3" t="s">
        <v>241</v>
      </c>
      <c r="F38" s="3">
        <v>0</v>
      </c>
      <c r="G38" s="3">
        <v>65535</v>
      </c>
      <c r="H38" s="3" t="s">
        <v>643</v>
      </c>
      <c r="I38" s="3" t="s">
        <v>88</v>
      </c>
      <c r="K38" s="3" t="s">
        <v>667</v>
      </c>
      <c r="L38" s="3"/>
      <c r="M38" s="3"/>
      <c r="N38" s="3"/>
      <c r="O38" s="3"/>
      <c r="P38" s="3"/>
      <c r="Q38" s="3"/>
      <c r="R38" s="3"/>
      <c r="S38" s="3"/>
      <c r="T38" s="3"/>
    </row>
    <row r="39" spans="1:1027" customFormat="1" x14ac:dyDescent="0.25">
      <c r="A39" s="19" t="s">
        <v>663</v>
      </c>
      <c r="B39" s="3">
        <v>80</v>
      </c>
      <c r="C39" s="81" t="str">
        <f t="shared" si="0"/>
        <v>9</v>
      </c>
      <c r="D39" s="3" t="s">
        <v>241</v>
      </c>
      <c r="E39" s="1"/>
      <c r="F39" s="3">
        <v>0</v>
      </c>
      <c r="G39" s="3">
        <v>65535</v>
      </c>
      <c r="H39" s="3" t="s">
        <v>643</v>
      </c>
      <c r="I39" s="3" t="s">
        <v>88</v>
      </c>
      <c r="J39" s="1"/>
      <c r="K39" s="3" t="s">
        <v>668</v>
      </c>
      <c r="L39" s="3"/>
      <c r="M39" s="3"/>
      <c r="N39" s="3"/>
      <c r="O39" s="3"/>
      <c r="P39" s="3"/>
      <c r="Q39" s="3"/>
      <c r="R39" s="3"/>
      <c r="S39" s="3"/>
      <c r="T39" s="3"/>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c r="QF39" s="1"/>
      <c r="QG39" s="1"/>
      <c r="QH39" s="1"/>
      <c r="QI39" s="1"/>
      <c r="QJ39" s="1"/>
      <c r="QK39" s="1"/>
      <c r="QL39" s="1"/>
      <c r="QM39" s="1"/>
      <c r="QN39" s="1"/>
      <c r="QO39" s="1"/>
      <c r="QP39" s="1"/>
      <c r="QQ39" s="1"/>
      <c r="QR39" s="1"/>
      <c r="QS39" s="1"/>
      <c r="QT39" s="1"/>
      <c r="QU39" s="1"/>
      <c r="QV39" s="1"/>
      <c r="QW39" s="1"/>
      <c r="QX39" s="1"/>
      <c r="QY39" s="1"/>
      <c r="QZ39" s="1"/>
      <c r="RA39" s="1"/>
      <c r="RB39" s="1"/>
      <c r="RC39" s="1"/>
      <c r="RD39" s="1"/>
      <c r="RE39" s="1"/>
      <c r="RF39" s="1"/>
      <c r="RG39" s="1"/>
      <c r="RH39" s="1"/>
      <c r="RI39" s="1"/>
      <c r="RJ39" s="1"/>
      <c r="RK39" s="1"/>
      <c r="RL39" s="1"/>
      <c r="RM39" s="1"/>
      <c r="RN39" s="1"/>
      <c r="RO39" s="1"/>
      <c r="RP39" s="1"/>
      <c r="RQ39" s="1"/>
      <c r="RR39" s="1"/>
      <c r="RS39" s="1"/>
      <c r="RT39" s="1"/>
      <c r="RU39" s="1"/>
      <c r="RV39" s="1"/>
      <c r="RW39" s="1"/>
      <c r="RX39" s="1"/>
      <c r="RY39" s="1"/>
      <c r="RZ39" s="1"/>
      <c r="SA39" s="1"/>
      <c r="SB39" s="1"/>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c r="TH39" s="1"/>
      <c r="TI39" s="1"/>
      <c r="TJ39" s="1"/>
      <c r="TK39" s="1"/>
      <c r="TL39" s="1"/>
      <c r="TM39" s="1"/>
      <c r="TN39" s="1"/>
      <c r="TO39" s="1"/>
      <c r="TP39" s="1"/>
      <c r="TQ39" s="1"/>
      <c r="TR39" s="1"/>
      <c r="TS39" s="1"/>
      <c r="TT39" s="1"/>
      <c r="TU39" s="1"/>
      <c r="TV39" s="1"/>
      <c r="TW39" s="1"/>
      <c r="TX39" s="1"/>
      <c r="TY39" s="1"/>
      <c r="TZ39" s="1"/>
      <c r="UA39" s="1"/>
      <c r="UB39" s="1"/>
      <c r="UC39" s="1"/>
      <c r="UD39" s="1"/>
      <c r="UE39" s="1"/>
      <c r="UF39" s="1"/>
      <c r="UG39" s="1"/>
      <c r="UH39" s="1"/>
      <c r="UI39" s="1"/>
      <c r="UJ39" s="1"/>
      <c r="UK39" s="1"/>
      <c r="UL39" s="1"/>
      <c r="UM39" s="1"/>
      <c r="UN39" s="1"/>
      <c r="UO39" s="1"/>
      <c r="UP39" s="1"/>
      <c r="UQ39" s="1"/>
      <c r="UR39" s="1"/>
      <c r="US39" s="1"/>
      <c r="UT39" s="1"/>
      <c r="UU39" s="1"/>
      <c r="UV39" s="1"/>
      <c r="UW39" s="1"/>
      <c r="UX39" s="1"/>
      <c r="UY39" s="1"/>
      <c r="UZ39" s="1"/>
      <c r="VA39" s="1"/>
      <c r="VB39" s="1"/>
      <c r="VC39" s="1"/>
      <c r="VD39" s="1"/>
      <c r="VE39" s="1"/>
      <c r="VF39" s="1"/>
      <c r="VG39" s="1"/>
      <c r="VH39" s="1"/>
      <c r="VI39" s="1"/>
      <c r="VJ39" s="1"/>
      <c r="VK39" s="1"/>
      <c r="VL39" s="1"/>
      <c r="VM39" s="1"/>
      <c r="VN39" s="1"/>
      <c r="VO39" s="1"/>
      <c r="VP39" s="1"/>
      <c r="VQ39" s="1"/>
      <c r="VR39" s="1"/>
      <c r="VS39" s="1"/>
      <c r="VT39" s="1"/>
      <c r="VU39" s="1"/>
      <c r="VV39" s="1"/>
      <c r="VW39" s="1"/>
      <c r="VX39" s="1"/>
      <c r="VY39" s="1"/>
      <c r="VZ39" s="1"/>
      <c r="WA39" s="1"/>
      <c r="WB39" s="1"/>
      <c r="WC39" s="1"/>
      <c r="WD39" s="1"/>
      <c r="WE39" s="1"/>
      <c r="WF39" s="1"/>
      <c r="WG39" s="1"/>
      <c r="WH39" s="1"/>
      <c r="WI39" s="1"/>
      <c r="WJ39" s="1"/>
      <c r="WK39" s="1"/>
      <c r="WL39" s="1"/>
      <c r="WM39" s="1"/>
      <c r="WN39" s="1"/>
      <c r="WO39" s="1"/>
      <c r="WP39" s="1"/>
      <c r="WQ39" s="1"/>
      <c r="WR39" s="1"/>
      <c r="WS39" s="1"/>
      <c r="WT39" s="1"/>
      <c r="WU39" s="1"/>
      <c r="WV39" s="1"/>
      <c r="WW39" s="1"/>
      <c r="WX39" s="1"/>
      <c r="WY39" s="1"/>
      <c r="WZ39" s="1"/>
      <c r="XA39" s="1"/>
      <c r="XB39" s="1"/>
      <c r="XC39" s="1"/>
      <c r="XD39" s="1"/>
      <c r="XE39" s="1"/>
      <c r="XF39" s="1"/>
      <c r="XG39" s="1"/>
      <c r="XH39" s="1"/>
      <c r="XI39" s="1"/>
      <c r="XJ39" s="1"/>
      <c r="XK39" s="1"/>
      <c r="XL39" s="1"/>
      <c r="XM39" s="1"/>
      <c r="XN39" s="1"/>
      <c r="XO39" s="1"/>
      <c r="XP39" s="1"/>
      <c r="XQ39" s="1"/>
      <c r="XR39" s="1"/>
      <c r="XS39" s="1"/>
      <c r="XT39" s="1"/>
      <c r="XU39" s="1"/>
      <c r="XV39" s="1"/>
      <c r="XW39" s="1"/>
      <c r="XX39" s="1"/>
      <c r="XY39" s="1"/>
      <c r="XZ39" s="1"/>
      <c r="YA39" s="1"/>
      <c r="YB39" s="1"/>
      <c r="YC39" s="1"/>
      <c r="YD39" s="1"/>
      <c r="YE39" s="1"/>
      <c r="YF39" s="1"/>
      <c r="YG39" s="1"/>
      <c r="YH39" s="1"/>
      <c r="YI39" s="1"/>
      <c r="YJ39" s="1"/>
      <c r="YK39" s="1"/>
      <c r="YL39" s="1"/>
      <c r="YM39" s="1"/>
      <c r="YN39" s="1"/>
      <c r="YO39" s="1"/>
      <c r="YP39" s="1"/>
      <c r="YQ39" s="1"/>
      <c r="YR39" s="1"/>
      <c r="YS39" s="1"/>
      <c r="YT39" s="1"/>
      <c r="YU39" s="1"/>
      <c r="YV39" s="1"/>
      <c r="YW39" s="1"/>
      <c r="YX39" s="1"/>
      <c r="YY39" s="1"/>
      <c r="YZ39" s="1"/>
      <c r="ZA39" s="1"/>
      <c r="ZB39" s="1"/>
      <c r="ZC39" s="1"/>
      <c r="ZD39" s="1"/>
      <c r="ZE39" s="1"/>
      <c r="ZF39" s="1"/>
      <c r="ZG39" s="1"/>
      <c r="ZH39" s="1"/>
      <c r="ZI39" s="1"/>
      <c r="ZJ39" s="1"/>
      <c r="ZK39" s="1"/>
      <c r="ZL39" s="1"/>
      <c r="ZM39" s="1"/>
      <c r="ZN39" s="1"/>
      <c r="ZO39" s="1"/>
      <c r="ZP39" s="1"/>
      <c r="ZQ39" s="1"/>
      <c r="ZR39" s="1"/>
      <c r="ZS39" s="1"/>
      <c r="ZT39" s="1"/>
      <c r="ZU39" s="1"/>
      <c r="ZV39" s="1"/>
      <c r="ZW39" s="1"/>
      <c r="ZX39" s="1"/>
      <c r="ZY39" s="1"/>
      <c r="ZZ39" s="1"/>
      <c r="AAA39" s="1"/>
      <c r="AAB39" s="1"/>
      <c r="AAC39" s="1"/>
      <c r="AAD39" s="1"/>
      <c r="AAE39" s="1"/>
      <c r="AAF39" s="1"/>
      <c r="AAG39" s="1"/>
      <c r="AAH39" s="1"/>
      <c r="AAI39" s="1"/>
      <c r="AAJ39" s="1"/>
      <c r="AAK39" s="1"/>
      <c r="AAL39" s="1"/>
      <c r="AAM39" s="1"/>
      <c r="AAN39" s="1"/>
      <c r="AAO39" s="1"/>
      <c r="AAP39" s="1"/>
      <c r="AAQ39" s="1"/>
      <c r="AAR39" s="1"/>
      <c r="AAS39" s="1"/>
      <c r="AAT39" s="1"/>
      <c r="AAU39" s="1"/>
      <c r="AAV39" s="1"/>
      <c r="AAW39" s="1"/>
      <c r="AAX39" s="1"/>
      <c r="AAY39" s="1"/>
      <c r="AAZ39" s="1"/>
      <c r="ABA39" s="1"/>
      <c r="ABB39" s="1"/>
      <c r="ABC39" s="1"/>
      <c r="ABD39" s="1"/>
      <c r="ABE39" s="1"/>
      <c r="ABF39" s="1"/>
      <c r="ABG39" s="1"/>
      <c r="ABH39" s="1"/>
      <c r="ABI39" s="1"/>
      <c r="ABJ39" s="1"/>
      <c r="ABK39" s="1"/>
      <c r="ABL39" s="1"/>
      <c r="ABM39" s="1"/>
      <c r="ABN39" s="1"/>
      <c r="ABO39" s="1"/>
      <c r="ABP39" s="1"/>
      <c r="ABQ39" s="1"/>
      <c r="ABR39" s="1"/>
      <c r="ABS39" s="1"/>
      <c r="ABT39" s="1"/>
      <c r="ABU39" s="1"/>
      <c r="ABV39" s="1"/>
      <c r="ABW39" s="1"/>
      <c r="ABX39" s="1"/>
      <c r="ABY39" s="1"/>
      <c r="ABZ39" s="1"/>
      <c r="ACA39" s="1"/>
      <c r="ACB39" s="1"/>
      <c r="ACC39" s="1"/>
      <c r="ACD39" s="1"/>
      <c r="ACE39" s="1"/>
      <c r="ACF39" s="1"/>
      <c r="ACG39" s="1"/>
      <c r="ACH39" s="1"/>
      <c r="ACI39" s="1"/>
      <c r="ACJ39" s="1"/>
      <c r="ACK39" s="1"/>
      <c r="ACL39" s="1"/>
      <c r="ACM39" s="1"/>
      <c r="ACN39" s="1"/>
      <c r="ACO39" s="1"/>
      <c r="ACP39" s="1"/>
      <c r="ACQ39" s="1"/>
      <c r="ACR39" s="1"/>
      <c r="ACS39" s="1"/>
      <c r="ACT39" s="1"/>
      <c r="ACU39" s="1"/>
      <c r="ACV39" s="1"/>
      <c r="ACW39" s="1"/>
      <c r="ACX39" s="1"/>
      <c r="ACY39" s="1"/>
      <c r="ACZ39" s="1"/>
      <c r="ADA39" s="1"/>
      <c r="ADB39" s="1"/>
      <c r="ADC39" s="1"/>
      <c r="ADD39" s="1"/>
      <c r="ADE39" s="1"/>
      <c r="ADF39" s="1"/>
      <c r="ADG39" s="1"/>
      <c r="ADH39" s="1"/>
      <c r="ADI39" s="1"/>
      <c r="ADJ39" s="1"/>
      <c r="ADK39" s="1"/>
      <c r="ADL39" s="1"/>
      <c r="ADM39" s="1"/>
      <c r="ADN39" s="1"/>
      <c r="ADO39" s="1"/>
      <c r="ADP39" s="1"/>
      <c r="ADQ39" s="1"/>
      <c r="ADR39" s="1"/>
      <c r="ADS39" s="1"/>
      <c r="ADT39" s="1"/>
      <c r="ADU39" s="1"/>
      <c r="ADV39" s="1"/>
      <c r="ADW39" s="1"/>
      <c r="ADX39" s="1"/>
      <c r="ADY39" s="1"/>
      <c r="ADZ39" s="1"/>
      <c r="AEA39" s="1"/>
      <c r="AEB39" s="1"/>
      <c r="AEC39" s="1"/>
      <c r="AED39" s="1"/>
      <c r="AEE39" s="1"/>
      <c r="AEF39" s="1"/>
      <c r="AEG39" s="1"/>
      <c r="AEH39" s="1"/>
      <c r="AEI39" s="1"/>
      <c r="AEJ39" s="1"/>
      <c r="AEK39" s="1"/>
      <c r="AEL39" s="1"/>
      <c r="AEM39" s="1"/>
      <c r="AEN39" s="1"/>
      <c r="AEO39" s="1"/>
      <c r="AEP39" s="1"/>
      <c r="AEQ39" s="1"/>
      <c r="AER39" s="1"/>
      <c r="AES39" s="1"/>
      <c r="AET39" s="1"/>
      <c r="AEU39" s="1"/>
      <c r="AEV39" s="1"/>
      <c r="AEW39" s="1"/>
      <c r="AEX39" s="1"/>
      <c r="AEY39" s="1"/>
      <c r="AEZ39" s="1"/>
      <c r="AFA39" s="1"/>
      <c r="AFB39" s="1"/>
      <c r="AFC39" s="1"/>
      <c r="AFD39" s="1"/>
      <c r="AFE39" s="1"/>
      <c r="AFF39" s="1"/>
      <c r="AFG39" s="1"/>
      <c r="AFH39" s="1"/>
      <c r="AFI39" s="1"/>
      <c r="AFJ39" s="1"/>
      <c r="AFK39" s="1"/>
      <c r="AFL39" s="1"/>
      <c r="AFM39" s="1"/>
      <c r="AFN39" s="1"/>
      <c r="AFO39" s="1"/>
      <c r="AFP39" s="1"/>
      <c r="AFQ39" s="1"/>
      <c r="AFR39" s="1"/>
      <c r="AFS39" s="1"/>
      <c r="AFT39" s="1"/>
      <c r="AFU39" s="1"/>
      <c r="AFV39" s="1"/>
      <c r="AFW39" s="1"/>
      <c r="AFX39" s="1"/>
      <c r="AFY39" s="1"/>
      <c r="AFZ39" s="1"/>
      <c r="AGA39" s="1"/>
      <c r="AGB39" s="1"/>
      <c r="AGC39" s="1"/>
      <c r="AGD39" s="1"/>
      <c r="AGE39" s="1"/>
      <c r="AGF39" s="1"/>
      <c r="AGG39" s="1"/>
      <c r="AGH39" s="1"/>
      <c r="AGI39" s="1"/>
      <c r="AGJ39" s="1"/>
      <c r="AGK39" s="1"/>
      <c r="AGL39" s="1"/>
      <c r="AGM39" s="1"/>
      <c r="AGN39" s="1"/>
      <c r="AGO39" s="1"/>
      <c r="AGP39" s="1"/>
      <c r="AGQ39" s="1"/>
      <c r="AGR39" s="1"/>
      <c r="AGS39" s="1"/>
      <c r="AGT39" s="1"/>
      <c r="AGU39" s="1"/>
      <c r="AGV39" s="1"/>
      <c r="AGW39" s="1"/>
      <c r="AGX39" s="1"/>
      <c r="AGY39" s="1"/>
      <c r="AGZ39" s="1"/>
      <c r="AHA39" s="1"/>
      <c r="AHB39" s="1"/>
      <c r="AHC39" s="1"/>
      <c r="AHD39" s="1"/>
      <c r="AHE39" s="1"/>
      <c r="AHF39" s="1"/>
      <c r="AHG39" s="1"/>
      <c r="AHH39" s="1"/>
      <c r="AHI39" s="1"/>
      <c r="AHJ39" s="1"/>
      <c r="AHK39" s="1"/>
      <c r="AHL39" s="1"/>
      <c r="AHM39" s="1"/>
      <c r="AHN39" s="1"/>
      <c r="AHO39" s="1"/>
      <c r="AHP39" s="1"/>
      <c r="AHQ39" s="1"/>
      <c r="AHR39" s="1"/>
      <c r="AHS39" s="1"/>
      <c r="AHT39" s="1"/>
      <c r="AHU39" s="1"/>
      <c r="AHV39" s="1"/>
      <c r="AHW39" s="1"/>
      <c r="AHX39" s="1"/>
      <c r="AHY39" s="1"/>
      <c r="AHZ39" s="1"/>
      <c r="AIA39" s="1"/>
      <c r="AIB39" s="1"/>
      <c r="AIC39" s="1"/>
      <c r="AID39" s="1"/>
      <c r="AIE39" s="1"/>
      <c r="AIF39" s="1"/>
      <c r="AIG39" s="1"/>
      <c r="AIH39" s="1"/>
      <c r="AII39" s="1"/>
      <c r="AIJ39" s="1"/>
      <c r="AIK39" s="1"/>
      <c r="AIL39" s="1"/>
      <c r="AIM39" s="1"/>
      <c r="AIN39" s="1"/>
      <c r="AIO39" s="1"/>
      <c r="AIP39" s="1"/>
      <c r="AIQ39" s="1"/>
      <c r="AIR39" s="1"/>
      <c r="AIS39" s="1"/>
      <c r="AIT39" s="1"/>
      <c r="AIU39" s="1"/>
      <c r="AIV39" s="1"/>
      <c r="AIW39" s="1"/>
      <c r="AIX39" s="1"/>
      <c r="AIY39" s="1"/>
      <c r="AIZ39" s="1"/>
      <c r="AJA39" s="1"/>
      <c r="AJB39" s="1"/>
      <c r="AJC39" s="1"/>
      <c r="AJD39" s="1"/>
      <c r="AJE39" s="1"/>
      <c r="AJF39" s="1"/>
      <c r="AJG39" s="1"/>
      <c r="AJH39" s="1"/>
      <c r="AJI39" s="1"/>
      <c r="AJJ39" s="1"/>
      <c r="AJK39" s="1"/>
      <c r="AJL39" s="1"/>
      <c r="AJM39" s="1"/>
      <c r="AJN39" s="1"/>
      <c r="AJO39" s="1"/>
      <c r="AJP39" s="1"/>
      <c r="AJQ39" s="1"/>
      <c r="AJR39" s="1"/>
      <c r="AJS39" s="1"/>
      <c r="AJT39" s="1"/>
      <c r="AJU39" s="1"/>
      <c r="AJV39" s="1"/>
      <c r="AJW39" s="1"/>
      <c r="AJX39" s="1"/>
      <c r="AJY39" s="1"/>
      <c r="AJZ39" s="1"/>
      <c r="AKA39" s="1"/>
      <c r="AKB39" s="1"/>
      <c r="AKC39" s="1"/>
      <c r="AKD39" s="1"/>
      <c r="AKE39" s="1"/>
      <c r="AKF39" s="1"/>
      <c r="AKG39" s="1"/>
      <c r="AKH39" s="1"/>
      <c r="AKI39" s="1"/>
      <c r="AKJ39" s="1"/>
      <c r="AKK39" s="1"/>
      <c r="AKL39" s="1"/>
      <c r="AKM39" s="1"/>
      <c r="AKN39" s="1"/>
      <c r="AKO39" s="1"/>
      <c r="AKP39" s="1"/>
      <c r="AKQ39" s="1"/>
      <c r="AKR39" s="1"/>
      <c r="AKS39" s="1"/>
      <c r="AKT39" s="1"/>
      <c r="AKU39" s="1"/>
      <c r="AKV39" s="1"/>
      <c r="AKW39" s="1"/>
      <c r="AKX39" s="1"/>
      <c r="AKY39" s="1"/>
      <c r="AKZ39" s="1"/>
      <c r="ALA39" s="1"/>
      <c r="ALB39" s="1"/>
      <c r="ALC39" s="1"/>
      <c r="ALD39" s="1"/>
      <c r="ALE39" s="1"/>
      <c r="ALF39" s="1"/>
      <c r="ALG39" s="1"/>
      <c r="ALH39" s="1"/>
      <c r="ALI39" s="1"/>
      <c r="ALJ39" s="1"/>
      <c r="ALK39" s="1"/>
      <c r="ALL39" s="1"/>
      <c r="ALM39" s="1"/>
      <c r="ALN39" s="1"/>
      <c r="ALO39" s="1"/>
      <c r="ALP39" s="1"/>
      <c r="ALQ39" s="1"/>
      <c r="ALR39" s="1"/>
      <c r="ALS39" s="1"/>
      <c r="ALT39" s="1"/>
      <c r="ALU39" s="1"/>
      <c r="ALV39" s="1"/>
      <c r="ALW39" s="1"/>
      <c r="ALX39" s="1"/>
      <c r="ALY39" s="1"/>
      <c r="ALZ39" s="1"/>
      <c r="AMA39" s="1"/>
      <c r="AMB39" s="1"/>
      <c r="AMC39" s="1"/>
      <c r="AMD39" s="1"/>
      <c r="AME39" s="1"/>
      <c r="AMF39" s="1"/>
      <c r="AMG39" s="1"/>
      <c r="AMH39" s="1"/>
      <c r="AMI39" s="1"/>
      <c r="AMJ39" s="1"/>
      <c r="AMK39" s="1"/>
      <c r="AML39" s="1"/>
      <c r="AMM39" s="1"/>
    </row>
    <row r="40" spans="1:1027" x14ac:dyDescent="0.25">
      <c r="A40" s="19" t="s">
        <v>664</v>
      </c>
      <c r="B40" s="3">
        <v>80</v>
      </c>
      <c r="C40" s="81" t="str">
        <f t="shared" si="0"/>
        <v>A</v>
      </c>
      <c r="D40" s="3" t="s">
        <v>241</v>
      </c>
      <c r="F40" s="3">
        <v>0</v>
      </c>
      <c r="G40" s="3">
        <v>65535</v>
      </c>
      <c r="H40" s="3" t="s">
        <v>643</v>
      </c>
      <c r="I40" s="3" t="s">
        <v>88</v>
      </c>
      <c r="K40" s="3" t="s">
        <v>667</v>
      </c>
      <c r="L40" s="3"/>
      <c r="M40" s="3"/>
      <c r="N40" s="3"/>
      <c r="O40" s="3"/>
      <c r="P40" s="3"/>
      <c r="Q40" s="3"/>
      <c r="R40" s="3"/>
      <c r="S40" s="3"/>
      <c r="T40" s="3"/>
    </row>
    <row r="41" spans="1:1027" x14ac:dyDescent="0.25">
      <c r="A41" s="19" t="s">
        <v>460</v>
      </c>
      <c r="B41" s="3">
        <v>80</v>
      </c>
      <c r="C41" s="81" t="str">
        <f t="shared" si="0"/>
        <v>B</v>
      </c>
      <c r="D41" s="3" t="s">
        <v>226</v>
      </c>
      <c r="E41" s="3"/>
      <c r="F41" s="3">
        <v>-180</v>
      </c>
      <c r="G41" s="3">
        <v>180</v>
      </c>
      <c r="H41" s="3" t="s">
        <v>227</v>
      </c>
      <c r="I41" s="3" t="s">
        <v>94</v>
      </c>
      <c r="J41" s="3"/>
      <c r="L41" s="3"/>
      <c r="M41" s="3"/>
      <c r="N41" s="3"/>
      <c r="O41" s="3"/>
      <c r="P41" s="3"/>
      <c r="Q41" s="3"/>
      <c r="R41" s="3"/>
      <c r="S41" s="3"/>
      <c r="T41" s="3"/>
    </row>
    <row r="42" spans="1:1027" x14ac:dyDescent="0.25">
      <c r="A42" s="19" t="s">
        <v>461</v>
      </c>
      <c r="B42" s="3">
        <v>80</v>
      </c>
      <c r="C42" s="81" t="str">
        <f t="shared" si="0"/>
        <v>C</v>
      </c>
      <c r="D42" s="3" t="s">
        <v>226</v>
      </c>
      <c r="E42" s="3"/>
      <c r="F42" s="3">
        <v>-180</v>
      </c>
      <c r="G42" s="3">
        <v>180</v>
      </c>
      <c r="H42" s="3" t="s">
        <v>227</v>
      </c>
      <c r="I42" s="3" t="s">
        <v>94</v>
      </c>
      <c r="J42" s="3"/>
      <c r="L42" s="3"/>
      <c r="M42" s="3"/>
      <c r="N42" s="3"/>
      <c r="O42" s="3"/>
      <c r="P42" s="3"/>
      <c r="Q42" s="3"/>
      <c r="R42" s="3"/>
      <c r="S42" s="3"/>
      <c r="T42" s="3"/>
    </row>
    <row r="43" spans="1:1027" x14ac:dyDescent="0.25">
      <c r="A43" s="19" t="s">
        <v>462</v>
      </c>
      <c r="B43" s="3">
        <v>80</v>
      </c>
      <c r="C43" s="81" t="str">
        <f t="shared" si="0"/>
        <v>D</v>
      </c>
      <c r="D43" s="3" t="s">
        <v>226</v>
      </c>
      <c r="E43" s="3"/>
      <c r="F43" s="3">
        <v>-180</v>
      </c>
      <c r="G43" s="3">
        <v>180</v>
      </c>
      <c r="H43" s="3" t="s">
        <v>227</v>
      </c>
      <c r="I43" s="3" t="s">
        <v>94</v>
      </c>
      <c r="J43" s="3"/>
      <c r="L43" s="3"/>
      <c r="M43" s="3"/>
      <c r="N43" s="3"/>
      <c r="O43" s="3"/>
      <c r="P43" s="3"/>
      <c r="Q43" s="3"/>
      <c r="R43" s="3"/>
      <c r="S43" s="3"/>
      <c r="T43" s="3"/>
    </row>
    <row r="44" spans="1:1027" x14ac:dyDescent="0.25">
      <c r="A44" s="41" t="s">
        <v>463</v>
      </c>
      <c r="B44" s="3">
        <v>80</v>
      </c>
      <c r="C44" s="81" t="str">
        <f t="shared" si="0"/>
        <v>E</v>
      </c>
      <c r="D44" s="3" t="s">
        <v>226</v>
      </c>
      <c r="E44" s="3"/>
      <c r="F44" s="3"/>
      <c r="G44" s="3"/>
      <c r="H44" s="3"/>
      <c r="I44" s="3" t="s">
        <v>94</v>
      </c>
      <c r="J44" s="3"/>
      <c r="L44" s="3"/>
      <c r="M44" s="3"/>
      <c r="N44" s="3"/>
      <c r="O44" s="3"/>
      <c r="P44" s="3"/>
      <c r="Q44" s="3"/>
      <c r="R44" s="3"/>
      <c r="S44" s="3"/>
      <c r="T44" s="3"/>
    </row>
    <row r="45" spans="1:1027" x14ac:dyDescent="0.25">
      <c r="A45" s="41" t="s">
        <v>464</v>
      </c>
      <c r="B45" s="3">
        <v>80</v>
      </c>
      <c r="C45" s="81" t="str">
        <f t="shared" si="0"/>
        <v>F</v>
      </c>
      <c r="D45" s="3" t="s">
        <v>226</v>
      </c>
      <c r="E45" s="3"/>
      <c r="F45" s="3"/>
      <c r="G45" s="3"/>
      <c r="H45" s="3"/>
      <c r="I45" s="3" t="s">
        <v>94</v>
      </c>
      <c r="J45" s="3"/>
      <c r="L45" s="3"/>
      <c r="M45" s="3"/>
      <c r="N45" s="3"/>
      <c r="O45" s="3"/>
      <c r="P45" s="3"/>
      <c r="Q45" s="3"/>
      <c r="R45" s="3"/>
      <c r="S45" s="3"/>
      <c r="T45" s="3"/>
    </row>
    <row r="46" spans="1:1027" x14ac:dyDescent="0.25">
      <c r="A46" s="41" t="s">
        <v>465</v>
      </c>
      <c r="B46" s="3">
        <v>80</v>
      </c>
      <c r="C46" s="81" t="str">
        <f t="shared" si="0"/>
        <v>10</v>
      </c>
      <c r="D46" s="3" t="s">
        <v>226</v>
      </c>
      <c r="E46" s="3"/>
      <c r="F46" s="3"/>
      <c r="G46" s="3"/>
      <c r="H46" s="3"/>
      <c r="I46" s="3" t="s">
        <v>94</v>
      </c>
      <c r="J46" s="3"/>
      <c r="L46" s="3"/>
      <c r="M46" s="3"/>
      <c r="N46" s="3"/>
      <c r="O46" s="3"/>
      <c r="P46" s="3"/>
      <c r="Q46" s="3"/>
      <c r="R46" s="3"/>
      <c r="S46" s="3"/>
      <c r="T46" s="3"/>
    </row>
    <row r="47" spans="1:1027" x14ac:dyDescent="0.25">
      <c r="A47" s="41" t="s">
        <v>634</v>
      </c>
      <c r="B47" s="3">
        <v>80</v>
      </c>
      <c r="C47" s="81" t="str">
        <f t="shared" si="0"/>
        <v>11</v>
      </c>
      <c r="D47" s="3" t="s">
        <v>138</v>
      </c>
      <c r="E47" s="3"/>
      <c r="F47" s="3">
        <v>0</v>
      </c>
      <c r="G47" s="3">
        <v>3</v>
      </c>
      <c r="H47" s="3"/>
      <c r="I47" s="3" t="s">
        <v>94</v>
      </c>
      <c r="J47" s="3"/>
      <c r="K47" s="3" t="s">
        <v>635</v>
      </c>
      <c r="L47" s="3"/>
      <c r="M47" s="3"/>
      <c r="N47" s="3"/>
      <c r="O47" s="3"/>
      <c r="P47" s="3"/>
      <c r="Q47" s="3"/>
      <c r="R47" s="3"/>
      <c r="S47" s="3"/>
      <c r="T47" s="3"/>
    </row>
    <row r="48" spans="1:1027" x14ac:dyDescent="0.25">
      <c r="A48" s="41" t="s">
        <v>929</v>
      </c>
      <c r="B48" s="3">
        <v>80</v>
      </c>
      <c r="C48" s="81" t="str">
        <f t="shared" si="0"/>
        <v>12</v>
      </c>
      <c r="D48" s="3" t="s">
        <v>241</v>
      </c>
      <c r="E48" s="3"/>
      <c r="F48" s="3">
        <v>0</v>
      </c>
      <c r="G48" s="3">
        <v>65535</v>
      </c>
      <c r="H48" s="3"/>
      <c r="I48" s="3" t="s">
        <v>88</v>
      </c>
      <c r="J48" s="3"/>
      <c r="K48" s="3" t="s">
        <v>930</v>
      </c>
      <c r="L48" s="3"/>
      <c r="M48" s="3"/>
      <c r="N48" s="3"/>
      <c r="O48" s="3"/>
      <c r="P48" s="3"/>
      <c r="Q48" s="3"/>
      <c r="R48" s="3"/>
      <c r="S48" s="3"/>
      <c r="T48" s="3"/>
    </row>
    <row r="49" spans="1:20" x14ac:dyDescent="0.25">
      <c r="A49" s="41" t="s">
        <v>587</v>
      </c>
      <c r="B49" s="3">
        <v>80</v>
      </c>
      <c r="C49" s="81" t="str">
        <f t="shared" si="0"/>
        <v>13</v>
      </c>
      <c r="D49" s="3" t="s">
        <v>141</v>
      </c>
      <c r="E49" s="3"/>
      <c r="F49" s="3">
        <v>0</v>
      </c>
      <c r="G49" s="3">
        <v>1</v>
      </c>
      <c r="H49" s="3"/>
      <c r="I49" s="3" t="s">
        <v>94</v>
      </c>
      <c r="J49" s="3"/>
      <c r="L49" s="3"/>
      <c r="M49" s="3"/>
      <c r="N49" s="3"/>
      <c r="O49" s="3"/>
      <c r="P49" s="3"/>
      <c r="Q49" s="3"/>
      <c r="R49" s="3"/>
      <c r="S49" s="3"/>
      <c r="T49" s="3"/>
    </row>
    <row r="50" spans="1:20" x14ac:dyDescent="0.25">
      <c r="A50" s="41" t="s">
        <v>588</v>
      </c>
      <c r="B50" s="3">
        <v>80</v>
      </c>
      <c r="C50" s="81" t="str">
        <f t="shared" si="0"/>
        <v>14</v>
      </c>
      <c r="D50" s="3" t="s">
        <v>141</v>
      </c>
      <c r="E50" s="3"/>
      <c r="F50" s="3">
        <v>0</v>
      </c>
      <c r="G50" s="3">
        <v>1</v>
      </c>
      <c r="H50" s="3"/>
      <c r="I50" s="3" t="s">
        <v>94</v>
      </c>
      <c r="J50" s="3"/>
      <c r="L50" s="3"/>
      <c r="M50" s="3"/>
      <c r="N50" s="3"/>
      <c r="O50" s="3"/>
      <c r="P50" s="3"/>
      <c r="Q50" s="3"/>
      <c r="R50" s="3"/>
      <c r="S50" s="3"/>
      <c r="T50" s="3"/>
    </row>
    <row r="51" spans="1:20" x14ac:dyDescent="0.25">
      <c r="A51" s="41" t="s">
        <v>509</v>
      </c>
      <c r="B51" s="3">
        <v>80</v>
      </c>
      <c r="C51" s="81" t="str">
        <f t="shared" si="0"/>
        <v>15</v>
      </c>
      <c r="D51" s="3" t="s">
        <v>138</v>
      </c>
      <c r="E51" s="3"/>
      <c r="F51" s="3">
        <v>0</v>
      </c>
      <c r="G51" s="3">
        <v>2</v>
      </c>
      <c r="H51" s="3"/>
      <c r="I51" s="3" t="s">
        <v>94</v>
      </c>
      <c r="J51" s="3"/>
      <c r="K51" s="3" t="s">
        <v>510</v>
      </c>
      <c r="L51" s="3"/>
      <c r="M51" s="3"/>
      <c r="N51" s="3"/>
      <c r="O51" s="3"/>
      <c r="P51" s="3"/>
      <c r="Q51" s="3"/>
      <c r="R51" s="3"/>
      <c r="S51" s="3"/>
      <c r="T51" s="3"/>
    </row>
    <row r="52" spans="1:20" x14ac:dyDescent="0.25">
      <c r="A52" s="25" t="s">
        <v>581</v>
      </c>
      <c r="B52" s="3">
        <v>80</v>
      </c>
      <c r="C52" s="81" t="str">
        <f t="shared" si="0"/>
        <v>16</v>
      </c>
      <c r="D52" s="3" t="s">
        <v>129</v>
      </c>
      <c r="E52" s="3"/>
      <c r="F52" s="3"/>
      <c r="G52" s="3"/>
      <c r="H52" s="3"/>
      <c r="I52" s="3"/>
      <c r="J52" s="3"/>
      <c r="L52" s="3"/>
      <c r="M52" s="3"/>
      <c r="N52" s="3"/>
      <c r="O52" s="3"/>
      <c r="P52" s="3"/>
      <c r="Q52" s="3"/>
      <c r="R52" s="3"/>
      <c r="S52" s="3"/>
      <c r="T52" s="3"/>
    </row>
    <row r="53" spans="1:20" x14ac:dyDescent="0.25">
      <c r="A53" s="25" t="s">
        <v>580</v>
      </c>
      <c r="B53" s="3">
        <v>80</v>
      </c>
      <c r="C53" s="81" t="str">
        <f t="shared" si="0"/>
        <v>17</v>
      </c>
      <c r="D53" s="3" t="s">
        <v>129</v>
      </c>
      <c r="E53" s="3"/>
      <c r="F53" s="3"/>
      <c r="G53" s="3"/>
      <c r="H53" s="3"/>
      <c r="I53" s="3"/>
      <c r="J53" s="3"/>
      <c r="L53" s="3"/>
      <c r="M53" s="3"/>
      <c r="N53" s="3"/>
      <c r="O53" s="3"/>
      <c r="P53" s="3"/>
      <c r="Q53" s="3"/>
      <c r="R53" s="3"/>
      <c r="S53" s="3"/>
      <c r="T53" s="3"/>
    </row>
    <row r="54" spans="1:20" x14ac:dyDescent="0.25">
      <c r="A54" s="25" t="s">
        <v>582</v>
      </c>
      <c r="B54" s="3">
        <v>80</v>
      </c>
      <c r="C54" s="81" t="str">
        <f t="shared" si="0"/>
        <v>18</v>
      </c>
      <c r="D54" s="3" t="s">
        <v>129</v>
      </c>
      <c r="E54" s="3"/>
      <c r="F54" s="3"/>
      <c r="G54" s="3"/>
      <c r="H54" s="3"/>
      <c r="I54" s="3"/>
      <c r="J54" s="3"/>
      <c r="L54" s="3"/>
      <c r="M54" s="3"/>
      <c r="N54" s="3"/>
      <c r="O54" s="3"/>
      <c r="P54" s="3"/>
      <c r="Q54" s="3"/>
      <c r="R54" s="3"/>
      <c r="S54" s="3"/>
      <c r="T54" s="3"/>
    </row>
    <row r="55" spans="1:20" x14ac:dyDescent="0.25">
      <c r="A55" s="25" t="s">
        <v>583</v>
      </c>
      <c r="B55" s="3">
        <v>80</v>
      </c>
      <c r="C55" s="81" t="str">
        <f t="shared" si="0"/>
        <v>19</v>
      </c>
      <c r="D55" s="3" t="s">
        <v>129</v>
      </c>
      <c r="E55" s="3"/>
      <c r="F55" s="3"/>
      <c r="G55" s="3"/>
      <c r="H55" s="3"/>
      <c r="I55" s="3"/>
      <c r="J55" s="3"/>
      <c r="L55" s="3"/>
      <c r="M55" s="3"/>
      <c r="N55" s="3"/>
      <c r="O55" s="3"/>
      <c r="P55" s="3"/>
      <c r="Q55" s="3"/>
      <c r="R55" s="3"/>
      <c r="S55" s="3"/>
      <c r="T55" s="3"/>
    </row>
    <row r="56" spans="1:20" x14ac:dyDescent="0.25">
      <c r="A56" s="41" t="s">
        <v>795</v>
      </c>
      <c r="B56" s="3">
        <v>80</v>
      </c>
      <c r="C56" s="81" t="str">
        <f t="shared" si="0"/>
        <v>1A</v>
      </c>
      <c r="D56" s="3" t="s">
        <v>138</v>
      </c>
      <c r="E56" s="3"/>
      <c r="F56" s="3">
        <v>0</v>
      </c>
      <c r="G56" s="3">
        <v>2</v>
      </c>
      <c r="H56" s="3"/>
      <c r="I56" s="3" t="s">
        <v>94</v>
      </c>
      <c r="J56" s="3"/>
      <c r="K56" s="3" t="s">
        <v>510</v>
      </c>
      <c r="L56" s="3"/>
      <c r="M56" s="3"/>
      <c r="N56" s="3"/>
      <c r="O56" s="3"/>
      <c r="P56" s="3"/>
      <c r="Q56" s="3"/>
      <c r="R56" s="3"/>
      <c r="S56" s="3"/>
      <c r="T56" s="3"/>
    </row>
    <row r="57" spans="1:20" x14ac:dyDescent="0.25">
      <c r="A57" s="25" t="s">
        <v>538</v>
      </c>
      <c r="B57" s="3">
        <v>80</v>
      </c>
      <c r="C57" s="81" t="str">
        <f t="shared" si="0"/>
        <v>1B</v>
      </c>
      <c r="D57" s="3" t="s">
        <v>129</v>
      </c>
      <c r="E57" s="3"/>
      <c r="F57" s="3"/>
      <c r="G57" s="3"/>
      <c r="H57" s="3"/>
      <c r="I57" s="3"/>
      <c r="J57" s="3"/>
      <c r="L57" s="3"/>
      <c r="M57" s="3"/>
      <c r="N57" s="3"/>
      <c r="O57" s="3"/>
      <c r="P57" s="3"/>
      <c r="Q57" s="3"/>
      <c r="R57" s="3"/>
      <c r="S57" s="3"/>
      <c r="T57" s="3"/>
    </row>
    <row r="58" spans="1:20" x14ac:dyDescent="0.25">
      <c r="A58" s="25" t="s">
        <v>539</v>
      </c>
      <c r="B58" s="3">
        <v>80</v>
      </c>
      <c r="C58" s="81" t="str">
        <f t="shared" si="0"/>
        <v>1C</v>
      </c>
      <c r="D58" s="3"/>
      <c r="E58" s="3"/>
      <c r="F58" s="3"/>
      <c r="G58" s="3"/>
      <c r="H58" s="3"/>
      <c r="I58" s="3"/>
      <c r="J58" s="3"/>
      <c r="L58" s="3"/>
      <c r="M58" s="3"/>
      <c r="N58" s="3"/>
      <c r="O58" s="3"/>
      <c r="P58" s="3"/>
      <c r="Q58" s="3"/>
      <c r="R58" s="3"/>
      <c r="S58" s="3"/>
      <c r="T58" s="3"/>
    </row>
    <row r="59" spans="1:20" x14ac:dyDescent="0.25">
      <c r="A59" s="25" t="s">
        <v>540</v>
      </c>
      <c r="B59" s="3">
        <v>80</v>
      </c>
      <c r="C59" s="81" t="str">
        <f t="shared" si="0"/>
        <v>1D</v>
      </c>
      <c r="D59" s="3"/>
      <c r="E59" s="3"/>
      <c r="F59" s="3"/>
      <c r="G59" s="3"/>
      <c r="H59" s="3"/>
      <c r="I59" s="3"/>
      <c r="J59" s="3"/>
      <c r="L59" s="3"/>
      <c r="M59" s="3"/>
      <c r="N59" s="3"/>
      <c r="O59" s="3"/>
      <c r="P59" s="3"/>
      <c r="Q59" s="3"/>
      <c r="R59" s="3"/>
      <c r="S59" s="3"/>
      <c r="T59" s="3"/>
    </row>
    <row r="60" spans="1:20" x14ac:dyDescent="0.25">
      <c r="A60" s="41" t="s">
        <v>796</v>
      </c>
      <c r="B60" s="3">
        <v>80</v>
      </c>
      <c r="C60" s="81" t="str">
        <f t="shared" si="0"/>
        <v>1E</v>
      </c>
      <c r="D60" s="3" t="s">
        <v>138</v>
      </c>
      <c r="E60" s="3"/>
      <c r="F60" s="3">
        <v>0</v>
      </c>
      <c r="G60" s="3">
        <v>2</v>
      </c>
      <c r="H60" s="3"/>
      <c r="I60" s="3" t="s">
        <v>94</v>
      </c>
      <c r="J60" s="3"/>
      <c r="K60" s="3" t="s">
        <v>510</v>
      </c>
      <c r="L60" s="3"/>
      <c r="M60" s="3"/>
      <c r="N60" s="3"/>
      <c r="O60" s="3"/>
      <c r="P60" s="3"/>
      <c r="Q60" s="3"/>
      <c r="R60" s="3"/>
      <c r="S60" s="3"/>
      <c r="T60" s="3"/>
    </row>
    <row r="61" spans="1:20" x14ac:dyDescent="0.25">
      <c r="A61" s="25" t="s">
        <v>551</v>
      </c>
      <c r="B61" s="3">
        <v>80</v>
      </c>
      <c r="C61" s="81" t="str">
        <f t="shared" si="0"/>
        <v>1F</v>
      </c>
      <c r="D61" s="3" t="s">
        <v>129</v>
      </c>
      <c r="E61" s="3"/>
      <c r="F61" s="3"/>
      <c r="G61" s="3"/>
      <c r="H61" s="3"/>
      <c r="I61" s="3"/>
      <c r="J61" s="3"/>
      <c r="L61" s="3"/>
      <c r="M61" s="3"/>
      <c r="N61" s="3"/>
      <c r="O61" s="3"/>
      <c r="P61" s="3"/>
      <c r="Q61" s="3"/>
      <c r="R61" s="3"/>
      <c r="S61" s="3"/>
      <c r="T61" s="3"/>
    </row>
    <row r="62" spans="1:20" x14ac:dyDescent="0.25">
      <c r="A62" s="25" t="s">
        <v>552</v>
      </c>
      <c r="B62" s="3">
        <v>80</v>
      </c>
      <c r="C62" s="81" t="str">
        <f t="shared" si="0"/>
        <v>20</v>
      </c>
      <c r="D62" s="3"/>
      <c r="E62" s="3"/>
      <c r="F62" s="3"/>
      <c r="G62" s="3"/>
      <c r="H62" s="3"/>
      <c r="I62" s="3"/>
      <c r="J62" s="3"/>
      <c r="L62" s="3"/>
      <c r="M62" s="3"/>
      <c r="N62" s="3"/>
      <c r="O62" s="3"/>
      <c r="P62" s="3"/>
      <c r="Q62" s="3"/>
      <c r="R62" s="3"/>
      <c r="S62" s="3"/>
      <c r="T62" s="3"/>
    </row>
    <row r="63" spans="1:20" x14ac:dyDescent="0.25">
      <c r="A63" s="25" t="s">
        <v>553</v>
      </c>
      <c r="B63" s="3">
        <v>80</v>
      </c>
      <c r="C63" s="81" t="str">
        <f t="shared" si="0"/>
        <v>21</v>
      </c>
      <c r="D63" s="3"/>
      <c r="E63" s="3"/>
      <c r="F63" s="3"/>
      <c r="G63" s="3"/>
      <c r="H63" s="3"/>
      <c r="I63" s="3"/>
      <c r="J63" s="3"/>
      <c r="L63" s="3"/>
      <c r="M63" s="3"/>
      <c r="N63" s="3"/>
      <c r="O63" s="3"/>
      <c r="P63" s="3"/>
      <c r="Q63" s="3"/>
      <c r="R63" s="3"/>
      <c r="S63" s="3"/>
      <c r="T63" s="3"/>
    </row>
    <row r="64" spans="1:20" x14ac:dyDescent="0.25">
      <c r="A64" s="41" t="s">
        <v>797</v>
      </c>
      <c r="B64" s="3">
        <v>80</v>
      </c>
      <c r="C64" s="81" t="str">
        <f t="shared" si="0"/>
        <v>22</v>
      </c>
      <c r="D64" s="3" t="s">
        <v>138</v>
      </c>
      <c r="E64" s="3"/>
      <c r="F64" s="3">
        <v>0</v>
      </c>
      <c r="G64" s="3">
        <v>2</v>
      </c>
      <c r="H64" s="3"/>
      <c r="I64" s="3" t="s">
        <v>94</v>
      </c>
      <c r="J64" s="3"/>
      <c r="K64" s="3" t="s">
        <v>510</v>
      </c>
      <c r="L64" s="3"/>
      <c r="M64" s="3"/>
      <c r="N64" s="3"/>
      <c r="O64" s="3"/>
      <c r="P64" s="3"/>
      <c r="Q64" s="3"/>
      <c r="R64" s="3"/>
      <c r="S64" s="3"/>
      <c r="T64" s="3"/>
    </row>
    <row r="65" spans="1:20" x14ac:dyDescent="0.25">
      <c r="A65" s="25" t="s">
        <v>554</v>
      </c>
      <c r="B65" s="3">
        <v>80</v>
      </c>
      <c r="C65" s="81" t="str">
        <f t="shared" si="0"/>
        <v>23</v>
      </c>
      <c r="D65" s="3" t="s">
        <v>129</v>
      </c>
      <c r="E65" s="3"/>
      <c r="F65" s="3"/>
      <c r="G65" s="3"/>
      <c r="H65" s="3"/>
      <c r="I65" s="3"/>
      <c r="J65" s="3"/>
      <c r="L65" s="3"/>
      <c r="M65" s="3"/>
      <c r="N65" s="3"/>
      <c r="O65" s="3"/>
      <c r="P65" s="3"/>
      <c r="Q65" s="3"/>
      <c r="R65" s="3"/>
      <c r="S65" s="3"/>
      <c r="T65" s="3"/>
    </row>
    <row r="66" spans="1:20" x14ac:dyDescent="0.25">
      <c r="A66" s="25" t="s">
        <v>555</v>
      </c>
      <c r="B66" s="3">
        <v>80</v>
      </c>
      <c r="C66" s="81" t="str">
        <f t="shared" si="0"/>
        <v>24</v>
      </c>
      <c r="D66" s="3"/>
      <c r="E66" s="3"/>
      <c r="F66" s="3"/>
      <c r="G66" s="3"/>
      <c r="H66" s="3"/>
      <c r="I66" s="3"/>
      <c r="J66" s="3"/>
      <c r="L66" s="3"/>
      <c r="M66" s="3"/>
      <c r="N66" s="3"/>
      <c r="O66" s="3"/>
      <c r="P66" s="3"/>
      <c r="Q66" s="3"/>
      <c r="R66" s="3"/>
      <c r="S66" s="3"/>
      <c r="T66" s="3"/>
    </row>
    <row r="67" spans="1:20" x14ac:dyDescent="0.25">
      <c r="A67" s="25" t="s">
        <v>556</v>
      </c>
      <c r="B67" s="3">
        <v>80</v>
      </c>
      <c r="C67" s="81" t="str">
        <f t="shared" si="0"/>
        <v>25</v>
      </c>
      <c r="D67" s="3"/>
      <c r="E67" s="3"/>
      <c r="F67" s="3"/>
      <c r="G67" s="3"/>
      <c r="H67" s="3"/>
      <c r="I67" s="3"/>
      <c r="J67" s="3"/>
      <c r="L67" s="3"/>
      <c r="M67" s="3"/>
      <c r="N67" s="3"/>
      <c r="O67" s="3"/>
      <c r="P67" s="3"/>
      <c r="Q67" s="3"/>
      <c r="R67" s="3"/>
      <c r="S67" s="3"/>
      <c r="T67" s="3"/>
    </row>
    <row r="68" spans="1:20" x14ac:dyDescent="0.25">
      <c r="A68" s="41" t="s">
        <v>798</v>
      </c>
      <c r="B68" s="3">
        <v>80</v>
      </c>
      <c r="C68" s="81" t="str">
        <f t="shared" si="0"/>
        <v>26</v>
      </c>
      <c r="D68" s="3" t="s">
        <v>138</v>
      </c>
      <c r="E68" s="3"/>
      <c r="F68" s="3">
        <v>0</v>
      </c>
      <c r="G68" s="3">
        <v>2</v>
      </c>
      <c r="H68" s="3"/>
      <c r="I68" s="3" t="s">
        <v>94</v>
      </c>
      <c r="J68" s="3"/>
      <c r="K68" s="3" t="s">
        <v>510</v>
      </c>
      <c r="L68" s="3"/>
      <c r="M68" s="3"/>
      <c r="N68" s="3"/>
      <c r="O68" s="3"/>
      <c r="P68" s="3"/>
      <c r="Q68" s="3"/>
      <c r="R68" s="3"/>
      <c r="S68" s="3"/>
      <c r="T68" s="3"/>
    </row>
    <row r="69" spans="1:20" x14ac:dyDescent="0.25">
      <c r="A69" s="25" t="s">
        <v>557</v>
      </c>
      <c r="B69" s="3">
        <v>80</v>
      </c>
      <c r="C69" s="81" t="str">
        <f t="shared" si="0"/>
        <v>27</v>
      </c>
      <c r="D69" s="3" t="s">
        <v>129</v>
      </c>
      <c r="E69" s="3"/>
      <c r="F69" s="3"/>
      <c r="G69" s="3"/>
      <c r="H69" s="3"/>
      <c r="I69" s="3"/>
      <c r="J69" s="3"/>
      <c r="L69" s="3"/>
      <c r="M69" s="3"/>
      <c r="N69" s="3"/>
      <c r="O69" s="3"/>
      <c r="P69" s="3"/>
      <c r="Q69" s="3"/>
      <c r="R69" s="3"/>
      <c r="S69" s="3"/>
      <c r="T69" s="3"/>
    </row>
    <row r="70" spans="1:20" x14ac:dyDescent="0.25">
      <c r="A70" s="25" t="s">
        <v>558</v>
      </c>
      <c r="B70" s="3">
        <v>80</v>
      </c>
      <c r="C70" s="81" t="str">
        <f t="shared" si="0"/>
        <v>28</v>
      </c>
      <c r="D70" s="3"/>
      <c r="E70" s="3"/>
      <c r="F70" s="3"/>
      <c r="G70" s="3"/>
      <c r="H70" s="3"/>
      <c r="I70" s="3"/>
      <c r="J70" s="3"/>
      <c r="L70" s="3"/>
      <c r="M70" s="3"/>
      <c r="N70" s="3"/>
      <c r="O70" s="3"/>
      <c r="P70" s="3"/>
      <c r="Q70" s="3"/>
      <c r="R70" s="3"/>
      <c r="S70" s="3"/>
      <c r="T70" s="3"/>
    </row>
    <row r="71" spans="1:20" x14ac:dyDescent="0.25">
      <c r="A71" s="25" t="s">
        <v>559</v>
      </c>
      <c r="B71" s="3">
        <v>80</v>
      </c>
      <c r="C71" s="81" t="str">
        <f t="shared" si="0"/>
        <v>29</v>
      </c>
      <c r="D71" s="3"/>
      <c r="E71" s="3"/>
      <c r="F71" s="3"/>
      <c r="G71" s="3"/>
      <c r="H71" s="3"/>
      <c r="I71" s="3"/>
      <c r="J71" s="3"/>
      <c r="L71" s="3"/>
      <c r="M71" s="3"/>
      <c r="N71" s="3"/>
      <c r="O71" s="3"/>
      <c r="P71" s="3"/>
      <c r="Q71" s="3"/>
      <c r="R71" s="3"/>
      <c r="S71" s="3"/>
      <c r="T71" s="3"/>
    </row>
    <row r="72" spans="1:20" x14ac:dyDescent="0.25">
      <c r="A72" s="19" t="s">
        <v>844</v>
      </c>
      <c r="B72" s="3">
        <v>80</v>
      </c>
      <c r="C72" s="81" t="str">
        <f t="shared" si="0"/>
        <v>2A</v>
      </c>
      <c r="D72" s="3" t="s">
        <v>129</v>
      </c>
      <c r="F72" s="3">
        <v>0</v>
      </c>
      <c r="G72" s="3">
        <v>6000</v>
      </c>
      <c r="H72" s="3" t="s">
        <v>643</v>
      </c>
      <c r="I72" s="3" t="s">
        <v>88</v>
      </c>
      <c r="K72" s="3" t="s">
        <v>845</v>
      </c>
      <c r="L72" s="3"/>
      <c r="M72" s="3"/>
      <c r="N72" s="3"/>
      <c r="O72" s="3"/>
      <c r="P72" s="3"/>
      <c r="Q72" s="3"/>
      <c r="R72" s="3"/>
      <c r="S72" s="3"/>
      <c r="T72" s="3"/>
    </row>
    <row r="73" spans="1:20" x14ac:dyDescent="0.25">
      <c r="A73" s="41" t="s">
        <v>933</v>
      </c>
      <c r="B73" s="3">
        <v>80</v>
      </c>
      <c r="C73" s="81" t="str">
        <f t="shared" si="0"/>
        <v>2B</v>
      </c>
      <c r="D73" s="3" t="s">
        <v>241</v>
      </c>
      <c r="E73" s="3"/>
      <c r="F73" s="3">
        <v>0</v>
      </c>
      <c r="G73" s="3">
        <v>65535</v>
      </c>
      <c r="H73" s="3" t="s">
        <v>643</v>
      </c>
      <c r="I73" s="3" t="s">
        <v>88</v>
      </c>
      <c r="J73" s="3"/>
      <c r="L73" s="3"/>
      <c r="M73" s="3"/>
      <c r="N73" s="3"/>
      <c r="O73" s="3"/>
      <c r="P73" s="3"/>
      <c r="Q73" s="3"/>
      <c r="R73" s="3"/>
      <c r="S73" s="3"/>
      <c r="T73" s="3"/>
    </row>
    <row r="74" spans="1:20" x14ac:dyDescent="0.25">
      <c r="A74" s="41" t="s">
        <v>934</v>
      </c>
      <c r="B74" s="3">
        <v>80</v>
      </c>
      <c r="C74" s="81" t="str">
        <f t="shared" si="0"/>
        <v>2C</v>
      </c>
      <c r="D74" s="3" t="s">
        <v>241</v>
      </c>
      <c r="E74" s="3"/>
      <c r="F74" s="3">
        <v>0</v>
      </c>
      <c r="G74" s="3">
        <v>65535</v>
      </c>
      <c r="H74" s="3" t="s">
        <v>643</v>
      </c>
      <c r="I74" s="3" t="s">
        <v>88</v>
      </c>
      <c r="J74" s="3"/>
      <c r="L74" s="3"/>
      <c r="M74" s="3"/>
      <c r="N74" s="3"/>
      <c r="O74" s="3"/>
      <c r="P74" s="3"/>
      <c r="Q74" s="3"/>
      <c r="R74" s="3"/>
      <c r="S74" s="3"/>
      <c r="T74" s="3"/>
    </row>
    <row r="75" spans="1:20" x14ac:dyDescent="0.25">
      <c r="A75" s="41" t="s">
        <v>935</v>
      </c>
      <c r="B75" s="3">
        <v>80</v>
      </c>
      <c r="C75" s="81" t="str">
        <f t="shared" si="0"/>
        <v>2D</v>
      </c>
      <c r="D75" s="3" t="s">
        <v>241</v>
      </c>
      <c r="E75" s="3"/>
      <c r="F75" s="3">
        <v>0</v>
      </c>
      <c r="G75" s="3">
        <v>65535</v>
      </c>
      <c r="H75" s="3" t="s">
        <v>643</v>
      </c>
      <c r="I75" s="3" t="s">
        <v>88</v>
      </c>
      <c r="J75" s="3"/>
      <c r="L75" s="3"/>
      <c r="M75" s="3"/>
      <c r="N75" s="3"/>
      <c r="O75" s="3"/>
      <c r="P75" s="3"/>
      <c r="Q75" s="3"/>
      <c r="R75" s="3"/>
      <c r="S75" s="3"/>
      <c r="T75" s="3"/>
    </row>
    <row r="76" spans="1:20" x14ac:dyDescent="0.25">
      <c r="A76" s="41" t="s">
        <v>936</v>
      </c>
      <c r="B76" s="3">
        <v>80</v>
      </c>
      <c r="C76" s="81" t="str">
        <f t="shared" si="0"/>
        <v>2E</v>
      </c>
      <c r="D76" s="3" t="s">
        <v>241</v>
      </c>
      <c r="E76" s="3"/>
      <c r="F76" s="3">
        <v>0</v>
      </c>
      <c r="G76" s="3">
        <v>65535</v>
      </c>
      <c r="H76" s="3" t="s">
        <v>643</v>
      </c>
      <c r="I76" s="3" t="s">
        <v>88</v>
      </c>
      <c r="J76" s="3"/>
      <c r="L76" s="3"/>
      <c r="M76" s="3"/>
      <c r="N76" s="3"/>
      <c r="O76" s="3"/>
      <c r="P76" s="3"/>
      <c r="Q76" s="3"/>
      <c r="R76" s="3"/>
      <c r="S76" s="3"/>
      <c r="T76" s="3"/>
    </row>
    <row r="77" spans="1:20" x14ac:dyDescent="0.25">
      <c r="A77" s="46" t="s">
        <v>347</v>
      </c>
      <c r="B77" s="3">
        <v>80</v>
      </c>
      <c r="C77" s="81" t="str">
        <f t="shared" si="0"/>
        <v>2F</v>
      </c>
      <c r="D77" s="3"/>
      <c r="E77" s="3"/>
      <c r="F77" s="3"/>
      <c r="G77" s="3"/>
      <c r="H77" s="3"/>
      <c r="I77" s="3"/>
      <c r="J77" s="3"/>
      <c r="L77" s="3"/>
      <c r="M77" s="3"/>
      <c r="N77" s="3"/>
      <c r="O77" s="3"/>
      <c r="P77" s="3"/>
      <c r="Q77" s="3"/>
      <c r="R77" s="3"/>
      <c r="S77" s="3"/>
      <c r="T77" s="3"/>
    </row>
    <row r="78" spans="1:20" x14ac:dyDescent="0.25">
      <c r="A78" s="46" t="s">
        <v>347</v>
      </c>
      <c r="B78" s="3">
        <v>80</v>
      </c>
      <c r="C78" s="81" t="str">
        <f t="shared" si="0"/>
        <v>30</v>
      </c>
      <c r="D78" s="3"/>
      <c r="E78" s="3"/>
      <c r="F78" s="3"/>
      <c r="G78" s="3"/>
      <c r="H78" s="3"/>
      <c r="I78" s="3"/>
      <c r="J78" s="3"/>
      <c r="L78" s="3"/>
      <c r="M78" s="3"/>
      <c r="N78" s="3"/>
      <c r="O78" s="3"/>
      <c r="P78" s="3"/>
      <c r="Q78" s="3"/>
      <c r="R78" s="3"/>
      <c r="S78" s="3"/>
      <c r="T78" s="3"/>
    </row>
    <row r="79" spans="1:20" x14ac:dyDescent="0.25">
      <c r="A79" s="46" t="s">
        <v>347</v>
      </c>
      <c r="B79" s="3">
        <v>80</v>
      </c>
      <c r="C79" s="81" t="str">
        <f t="shared" si="0"/>
        <v>31</v>
      </c>
      <c r="D79" s="3"/>
      <c r="E79" s="3"/>
      <c r="F79" s="3"/>
      <c r="G79" s="3"/>
      <c r="H79" s="3"/>
      <c r="I79" s="3"/>
      <c r="J79" s="3"/>
      <c r="L79" s="3"/>
      <c r="M79" s="3"/>
      <c r="N79" s="3"/>
      <c r="O79" s="3"/>
      <c r="P79" s="3"/>
      <c r="Q79" s="3"/>
      <c r="R79" s="3"/>
      <c r="S79" s="3"/>
      <c r="T79" s="3"/>
    </row>
    <row r="80" spans="1:20" x14ac:dyDescent="0.25">
      <c r="A80" s="46" t="s">
        <v>347</v>
      </c>
      <c r="B80" s="3">
        <v>80</v>
      </c>
      <c r="C80" s="81" t="str">
        <f t="shared" si="0"/>
        <v>32</v>
      </c>
      <c r="D80" s="3"/>
      <c r="E80" s="3"/>
      <c r="F80" s="3"/>
      <c r="G80" s="3"/>
      <c r="H80" s="3"/>
      <c r="I80" s="3"/>
      <c r="J80" s="3"/>
      <c r="L80" s="3"/>
      <c r="M80" s="3"/>
      <c r="N80" s="3"/>
      <c r="O80" s="3"/>
      <c r="P80" s="3"/>
      <c r="Q80" s="3"/>
      <c r="R80" s="3"/>
      <c r="S80" s="3"/>
      <c r="T80" s="3"/>
    </row>
    <row r="81" spans="1:20" x14ac:dyDescent="0.25">
      <c r="A81" s="46" t="s">
        <v>347</v>
      </c>
      <c r="B81" s="3">
        <v>80</v>
      </c>
      <c r="C81" s="81" t="str">
        <f t="shared" si="0"/>
        <v>33</v>
      </c>
      <c r="D81" s="3"/>
      <c r="E81" s="3"/>
      <c r="F81" s="3"/>
      <c r="G81" s="3"/>
      <c r="H81" s="3"/>
      <c r="I81" s="3"/>
      <c r="J81" s="3"/>
      <c r="L81" s="3"/>
      <c r="M81" s="3"/>
      <c r="N81" s="3"/>
      <c r="O81" s="3"/>
      <c r="P81" s="3"/>
      <c r="Q81" s="3"/>
      <c r="R81" s="3"/>
      <c r="S81" s="3"/>
      <c r="T81" s="3"/>
    </row>
    <row r="82" spans="1:20" x14ac:dyDescent="0.25">
      <c r="A82" s="46" t="s">
        <v>347</v>
      </c>
      <c r="B82" s="3">
        <v>80</v>
      </c>
      <c r="C82" s="81" t="str">
        <f t="shared" si="0"/>
        <v>34</v>
      </c>
      <c r="D82" s="3"/>
      <c r="E82" s="3"/>
      <c r="F82" s="3"/>
      <c r="G82" s="3"/>
      <c r="H82" s="3"/>
      <c r="I82" s="3"/>
      <c r="J82" s="3"/>
      <c r="L82" s="3"/>
      <c r="M82" s="3"/>
      <c r="N82" s="3"/>
      <c r="O82" s="3"/>
      <c r="P82" s="3"/>
      <c r="Q82" s="3"/>
      <c r="R82" s="3"/>
      <c r="S82" s="3"/>
      <c r="T82" s="3"/>
    </row>
    <row r="83" spans="1:20" x14ac:dyDescent="0.25">
      <c r="A83" s="46" t="s">
        <v>347</v>
      </c>
      <c r="B83" s="3">
        <v>80</v>
      </c>
      <c r="C83" s="81" t="str">
        <f t="shared" si="0"/>
        <v>35</v>
      </c>
      <c r="D83" s="3"/>
      <c r="E83" s="3"/>
      <c r="F83" s="3"/>
      <c r="G83" s="3"/>
      <c r="H83" s="3"/>
      <c r="I83" s="3"/>
      <c r="J83" s="3"/>
      <c r="L83" s="3"/>
      <c r="M83" s="3"/>
      <c r="N83" s="3"/>
      <c r="O83" s="3"/>
      <c r="P83" s="3"/>
      <c r="Q83" s="3"/>
      <c r="R83" s="3"/>
      <c r="S83" s="3"/>
      <c r="T83" s="3"/>
    </row>
    <row r="84" spans="1:20" x14ac:dyDescent="0.25">
      <c r="A84" s="46" t="s">
        <v>347</v>
      </c>
      <c r="B84" s="3">
        <v>80</v>
      </c>
      <c r="C84" s="81" t="str">
        <f t="shared" si="0"/>
        <v>36</v>
      </c>
      <c r="D84" s="3"/>
      <c r="E84" s="3"/>
      <c r="F84" s="3"/>
      <c r="G84" s="3"/>
      <c r="H84" s="3"/>
      <c r="I84" s="3"/>
      <c r="J84" s="3"/>
      <c r="L84" s="3"/>
      <c r="M84" s="3"/>
      <c r="N84" s="3"/>
      <c r="O84" s="3"/>
      <c r="P84" s="3"/>
      <c r="Q84" s="3"/>
      <c r="R84" s="3"/>
      <c r="S84" s="3"/>
      <c r="T84" s="3"/>
    </row>
    <row r="85" spans="1:20" x14ac:dyDescent="0.25">
      <c r="A85" s="46" t="s">
        <v>347</v>
      </c>
      <c r="B85" s="3">
        <v>80</v>
      </c>
      <c r="C85" s="81" t="str">
        <f t="shared" si="0"/>
        <v>37</v>
      </c>
      <c r="D85" s="3"/>
      <c r="E85" s="3"/>
      <c r="F85" s="3"/>
      <c r="G85" s="3"/>
      <c r="H85" s="3"/>
      <c r="I85" s="3"/>
      <c r="J85" s="3"/>
      <c r="L85" s="3"/>
      <c r="M85" s="3"/>
      <c r="N85" s="3"/>
      <c r="O85" s="3"/>
      <c r="P85" s="3"/>
      <c r="Q85" s="3"/>
      <c r="R85" s="3"/>
      <c r="S85" s="3"/>
      <c r="T85" s="3"/>
    </row>
    <row r="86" spans="1:20" x14ac:dyDescent="0.25">
      <c r="A86" s="46" t="s">
        <v>347</v>
      </c>
      <c r="B86" s="3">
        <v>80</v>
      </c>
      <c r="C86" s="81" t="str">
        <f t="shared" si="0"/>
        <v>38</v>
      </c>
      <c r="D86" s="3"/>
      <c r="E86" s="3"/>
      <c r="F86" s="3"/>
      <c r="G86" s="3"/>
      <c r="H86" s="3"/>
      <c r="I86" s="3"/>
      <c r="J86" s="3"/>
      <c r="L86" s="3"/>
      <c r="M86" s="3"/>
      <c r="N86" s="3"/>
      <c r="O86" s="3"/>
      <c r="P86" s="3"/>
      <c r="Q86" s="3"/>
      <c r="R86" s="3"/>
      <c r="S86" s="3"/>
      <c r="T86" s="3"/>
    </row>
    <row r="87" spans="1:20" x14ac:dyDescent="0.25">
      <c r="A87" s="46" t="s">
        <v>347</v>
      </c>
      <c r="B87" s="3">
        <v>80</v>
      </c>
      <c r="C87" s="81" t="str">
        <f t="shared" si="0"/>
        <v>39</v>
      </c>
      <c r="D87" s="3"/>
      <c r="E87" s="3"/>
      <c r="F87" s="3"/>
      <c r="G87" s="3"/>
      <c r="H87" s="3"/>
      <c r="I87" s="3"/>
      <c r="J87" s="3"/>
      <c r="L87" s="3"/>
      <c r="M87" s="3"/>
      <c r="N87" s="3"/>
      <c r="O87" s="3"/>
      <c r="P87" s="3"/>
      <c r="Q87" s="3"/>
      <c r="R87" s="3"/>
      <c r="S87" s="3"/>
      <c r="T87" s="3"/>
    </row>
    <row r="88" spans="1:20" x14ac:dyDescent="0.25">
      <c r="A88" s="46" t="s">
        <v>347</v>
      </c>
      <c r="B88" s="3">
        <v>80</v>
      </c>
      <c r="C88" s="81" t="str">
        <f t="shared" si="0"/>
        <v>3A</v>
      </c>
      <c r="D88" s="3"/>
      <c r="E88" s="3"/>
      <c r="F88" s="3"/>
      <c r="G88" s="3"/>
      <c r="H88" s="3"/>
      <c r="I88" s="3"/>
      <c r="J88" s="3"/>
      <c r="L88" s="3"/>
      <c r="M88" s="3"/>
      <c r="N88" s="3"/>
      <c r="O88" s="3"/>
      <c r="P88" s="3"/>
      <c r="Q88" s="3"/>
      <c r="R88" s="3"/>
      <c r="S88" s="3"/>
      <c r="T88" s="3"/>
    </row>
    <row r="89" spans="1:20" x14ac:dyDescent="0.25">
      <c r="A89" s="46" t="s">
        <v>347</v>
      </c>
      <c r="B89" s="3">
        <v>80</v>
      </c>
      <c r="C89" s="81" t="str">
        <f t="shared" si="0"/>
        <v>3B</v>
      </c>
      <c r="D89" s="3"/>
      <c r="E89" s="3"/>
      <c r="F89" s="3"/>
      <c r="G89" s="3"/>
      <c r="H89" s="3"/>
      <c r="I89" s="3"/>
      <c r="J89" s="3"/>
      <c r="L89" s="3"/>
      <c r="M89" s="3"/>
      <c r="N89" s="3"/>
      <c r="O89" s="3"/>
      <c r="P89" s="3"/>
      <c r="Q89" s="3"/>
      <c r="R89" s="3"/>
      <c r="S89" s="3"/>
      <c r="T89" s="3"/>
    </row>
    <row r="90" spans="1:20" x14ac:dyDescent="0.25">
      <c r="A90" s="46" t="s">
        <v>347</v>
      </c>
      <c r="B90" s="3">
        <v>80</v>
      </c>
      <c r="C90" s="81" t="str">
        <f t="shared" si="0"/>
        <v>3C</v>
      </c>
      <c r="D90" s="3"/>
      <c r="E90" s="3"/>
      <c r="F90" s="3"/>
      <c r="G90" s="3"/>
      <c r="H90" s="3"/>
      <c r="I90" s="3"/>
      <c r="J90" s="3"/>
      <c r="L90" s="3"/>
      <c r="M90" s="3"/>
      <c r="N90" s="3"/>
      <c r="O90" s="3"/>
      <c r="P90" s="3"/>
      <c r="Q90" s="3"/>
      <c r="R90" s="3"/>
      <c r="S90" s="3"/>
      <c r="T90" s="3"/>
    </row>
    <row r="91" spans="1:20" x14ac:dyDescent="0.25">
      <c r="A91" s="46" t="s">
        <v>347</v>
      </c>
      <c r="B91" s="3">
        <v>80</v>
      </c>
      <c r="C91" s="81" t="str">
        <f t="shared" si="0"/>
        <v>3D</v>
      </c>
      <c r="D91" s="3"/>
      <c r="E91" s="3"/>
      <c r="F91" s="3"/>
      <c r="G91" s="3"/>
      <c r="H91" s="3"/>
      <c r="I91" s="3"/>
      <c r="J91" s="3"/>
      <c r="L91" s="3"/>
      <c r="M91" s="3"/>
      <c r="N91" s="3"/>
      <c r="O91" s="3"/>
      <c r="P91" s="3"/>
      <c r="Q91" s="3"/>
      <c r="R91" s="3"/>
      <c r="S91" s="3"/>
      <c r="T91" s="3"/>
    </row>
    <row r="92" spans="1:20" x14ac:dyDescent="0.25">
      <c r="A92" s="46" t="s">
        <v>347</v>
      </c>
      <c r="B92" s="3">
        <v>80</v>
      </c>
      <c r="C92" s="81" t="str">
        <f t="shared" si="0"/>
        <v>3E</v>
      </c>
      <c r="D92" s="3"/>
      <c r="E92" s="3"/>
      <c r="F92" s="3"/>
      <c r="G92" s="3"/>
      <c r="H92" s="3"/>
      <c r="I92" s="3"/>
      <c r="J92" s="3"/>
      <c r="L92" s="3"/>
      <c r="M92" s="3"/>
      <c r="N92" s="3"/>
      <c r="O92" s="3"/>
      <c r="P92" s="3"/>
      <c r="Q92" s="3"/>
      <c r="R92" s="3"/>
      <c r="S92" s="3"/>
      <c r="T92" s="3"/>
    </row>
    <row r="93" spans="1:20" x14ac:dyDescent="0.25">
      <c r="A93" s="46" t="s">
        <v>347</v>
      </c>
      <c r="B93" s="3">
        <v>80</v>
      </c>
      <c r="C93" s="81" t="str">
        <f t="shared" si="0"/>
        <v>3F</v>
      </c>
      <c r="D93" s="3"/>
      <c r="E93" s="3"/>
      <c r="F93" s="3"/>
      <c r="G93" s="3"/>
      <c r="H93" s="3"/>
      <c r="I93" s="3"/>
      <c r="J93" s="3"/>
      <c r="L93" s="3"/>
      <c r="M93" s="3"/>
      <c r="N93" s="3"/>
      <c r="O93" s="3"/>
      <c r="P93" s="3"/>
      <c r="Q93" s="3"/>
      <c r="R93" s="3"/>
      <c r="S93" s="3"/>
      <c r="T93" s="3"/>
    </row>
    <row r="94" spans="1:20" x14ac:dyDescent="0.25">
      <c r="A94" s="46" t="s">
        <v>347</v>
      </c>
      <c r="B94" s="3">
        <v>80</v>
      </c>
      <c r="C94" s="81" t="str">
        <f t="shared" si="0"/>
        <v>40</v>
      </c>
      <c r="D94" s="3"/>
      <c r="E94" s="3"/>
      <c r="F94" s="3"/>
      <c r="G94" s="3"/>
      <c r="H94" s="3"/>
      <c r="I94" s="3"/>
      <c r="J94" s="3"/>
      <c r="L94" s="3"/>
      <c r="M94" s="3"/>
      <c r="N94" s="3"/>
      <c r="O94" s="3"/>
      <c r="P94" s="3"/>
      <c r="Q94" s="3"/>
      <c r="R94" s="3"/>
      <c r="S94" s="3"/>
      <c r="T94" s="3"/>
    </row>
    <row r="95" spans="1:20" x14ac:dyDescent="0.25">
      <c r="A95" s="46" t="s">
        <v>347</v>
      </c>
      <c r="B95" s="3">
        <v>80</v>
      </c>
      <c r="C95" s="81" t="str">
        <f t="shared" si="0"/>
        <v>41</v>
      </c>
      <c r="D95" s="3"/>
      <c r="E95" s="3"/>
      <c r="F95" s="3"/>
      <c r="G95" s="3"/>
      <c r="H95" s="3"/>
      <c r="I95" s="3"/>
      <c r="J95" s="3"/>
      <c r="L95" s="3"/>
      <c r="M95" s="3"/>
      <c r="N95" s="3"/>
      <c r="O95" s="3"/>
      <c r="P95" s="3"/>
      <c r="Q95" s="3"/>
      <c r="R95" s="3"/>
      <c r="S95" s="3"/>
      <c r="T95" s="3"/>
    </row>
    <row r="96" spans="1:20" x14ac:dyDescent="0.25">
      <c r="A96" s="54" t="s">
        <v>168</v>
      </c>
      <c r="B96" s="3">
        <v>80</v>
      </c>
      <c r="C96" s="81" t="str">
        <f t="shared" ref="C96:C125" si="1">DEC2HEX(HEX2DEC(C95)+1)</f>
        <v>42</v>
      </c>
      <c r="D96" s="3" t="s">
        <v>241</v>
      </c>
      <c r="E96" s="3"/>
      <c r="F96" s="3"/>
      <c r="G96" s="3"/>
      <c r="H96" s="3"/>
      <c r="I96" s="3"/>
      <c r="J96" s="3"/>
      <c r="L96" s="3"/>
      <c r="M96" s="3"/>
      <c r="N96" s="3"/>
      <c r="O96" s="3"/>
      <c r="P96" s="3"/>
      <c r="Q96" s="3"/>
      <c r="R96" s="3"/>
      <c r="S96" s="3"/>
      <c r="T96" s="3"/>
    </row>
    <row r="97" spans="1:20" x14ac:dyDescent="0.25">
      <c r="A97" s="41" t="s">
        <v>584</v>
      </c>
      <c r="B97" s="3">
        <v>80</v>
      </c>
      <c r="C97" s="81" t="str">
        <f t="shared" si="1"/>
        <v>43</v>
      </c>
      <c r="D97" s="3" t="s">
        <v>138</v>
      </c>
      <c r="E97" s="3"/>
      <c r="F97" s="3">
        <v>0</v>
      </c>
      <c r="G97" s="3">
        <v>7</v>
      </c>
      <c r="H97" s="3"/>
      <c r="I97" s="3" t="s">
        <v>94</v>
      </c>
      <c r="J97" s="3"/>
      <c r="K97" s="3" t="s">
        <v>591</v>
      </c>
      <c r="L97" s="3"/>
      <c r="M97" s="3"/>
      <c r="N97" s="3"/>
      <c r="O97" s="3"/>
      <c r="P97" s="3"/>
      <c r="Q97" s="3"/>
      <c r="R97" s="3"/>
      <c r="S97" s="3"/>
      <c r="T97" s="3"/>
    </row>
    <row r="98" spans="1:20" x14ac:dyDescent="0.25">
      <c r="A98" s="47" t="s">
        <v>578</v>
      </c>
      <c r="B98" s="3">
        <v>80</v>
      </c>
      <c r="C98" s="81" t="str">
        <f t="shared" si="1"/>
        <v>44</v>
      </c>
      <c r="D98" s="3"/>
      <c r="E98" s="3"/>
      <c r="F98" s="3"/>
      <c r="G98" s="3"/>
      <c r="H98" s="3"/>
      <c r="I98" s="3"/>
      <c r="J98" s="3" t="s">
        <v>489</v>
      </c>
      <c r="L98" s="3"/>
      <c r="M98" s="3"/>
      <c r="N98" s="3"/>
      <c r="O98" s="3"/>
      <c r="P98" s="3"/>
      <c r="Q98" s="3"/>
      <c r="R98" s="3"/>
      <c r="S98" s="3"/>
      <c r="T98" s="3"/>
    </row>
    <row r="99" spans="1:20" x14ac:dyDescent="0.25">
      <c r="A99" s="47" t="s">
        <v>541</v>
      </c>
      <c r="B99" s="3">
        <v>80</v>
      </c>
      <c r="C99" s="81" t="str">
        <f t="shared" si="1"/>
        <v>45</v>
      </c>
      <c r="D99" s="3"/>
      <c r="E99" s="3"/>
      <c r="F99" s="3"/>
      <c r="G99" s="3"/>
      <c r="H99" s="3"/>
      <c r="I99" s="3"/>
      <c r="J99" s="3" t="s">
        <v>489</v>
      </c>
      <c r="L99" s="3"/>
      <c r="M99" s="3"/>
      <c r="N99" s="3"/>
      <c r="O99" s="3"/>
      <c r="P99" s="3"/>
      <c r="Q99" s="3"/>
      <c r="R99" s="3"/>
      <c r="S99" s="3"/>
      <c r="T99" s="3"/>
    </row>
    <row r="100" spans="1:20" x14ac:dyDescent="0.25">
      <c r="A100" s="47" t="s">
        <v>542</v>
      </c>
      <c r="B100" s="3">
        <v>80</v>
      </c>
      <c r="C100" s="81" t="str">
        <f t="shared" si="1"/>
        <v>46</v>
      </c>
      <c r="D100" s="3"/>
      <c r="E100" s="3"/>
      <c r="F100" s="3"/>
      <c r="G100" s="3"/>
      <c r="H100" s="3"/>
      <c r="I100" s="3"/>
      <c r="J100" s="3" t="s">
        <v>489</v>
      </c>
      <c r="L100" s="3"/>
      <c r="M100" s="3"/>
      <c r="N100" s="3"/>
      <c r="O100" s="3"/>
      <c r="P100" s="3"/>
      <c r="Q100" s="3"/>
      <c r="R100" s="3"/>
      <c r="S100" s="3"/>
      <c r="T100" s="3"/>
    </row>
    <row r="101" spans="1:20" x14ac:dyDescent="0.25">
      <c r="A101" s="47" t="s">
        <v>543</v>
      </c>
      <c r="B101" s="3">
        <v>80</v>
      </c>
      <c r="C101" s="81" t="str">
        <f t="shared" si="1"/>
        <v>47</v>
      </c>
      <c r="D101" s="3"/>
      <c r="E101" s="3"/>
      <c r="F101" s="3"/>
      <c r="G101" s="3"/>
      <c r="H101" s="3"/>
      <c r="I101" s="3"/>
      <c r="J101" s="3" t="s">
        <v>489</v>
      </c>
      <c r="L101" s="3"/>
      <c r="M101" s="3"/>
      <c r="N101" s="3"/>
      <c r="O101" s="3"/>
      <c r="P101" s="3"/>
      <c r="Q101" s="3"/>
      <c r="R101" s="3"/>
      <c r="S101" s="3"/>
      <c r="T101" s="3"/>
    </row>
    <row r="102" spans="1:20" x14ac:dyDescent="0.25">
      <c r="A102" s="47" t="s">
        <v>544</v>
      </c>
      <c r="B102" s="3">
        <v>80</v>
      </c>
      <c r="C102" s="81" t="str">
        <f t="shared" si="1"/>
        <v>48</v>
      </c>
      <c r="D102" s="3"/>
      <c r="E102" s="3"/>
      <c r="F102" s="3"/>
      <c r="G102" s="3"/>
      <c r="H102" s="3"/>
      <c r="I102" s="3"/>
      <c r="J102" s="3" t="s">
        <v>489</v>
      </c>
      <c r="L102" s="3"/>
      <c r="M102" s="3"/>
      <c r="N102" s="3"/>
      <c r="O102" s="3"/>
      <c r="P102" s="3"/>
      <c r="Q102" s="3"/>
      <c r="R102" s="3"/>
      <c r="S102" s="3"/>
      <c r="T102" s="3"/>
    </row>
    <row r="103" spans="1:20" x14ac:dyDescent="0.25">
      <c r="A103" s="47" t="s">
        <v>545</v>
      </c>
      <c r="B103" s="3">
        <v>80</v>
      </c>
      <c r="C103" s="81" t="str">
        <f t="shared" si="1"/>
        <v>49</v>
      </c>
      <c r="D103" s="3"/>
      <c r="E103" s="3"/>
      <c r="F103" s="3"/>
      <c r="G103" s="3"/>
      <c r="H103" s="3"/>
      <c r="I103" s="3"/>
      <c r="J103" s="3" t="s">
        <v>489</v>
      </c>
      <c r="L103" s="3"/>
      <c r="M103" s="3"/>
      <c r="N103" s="3"/>
      <c r="O103" s="3"/>
      <c r="P103" s="3"/>
      <c r="Q103" s="3"/>
      <c r="R103" s="3"/>
      <c r="S103" s="3"/>
      <c r="T103" s="3"/>
    </row>
    <row r="104" spans="1:20" x14ac:dyDescent="0.25">
      <c r="A104" s="47" t="s">
        <v>546</v>
      </c>
      <c r="B104" s="3">
        <v>80</v>
      </c>
      <c r="C104" s="81" t="str">
        <f t="shared" si="1"/>
        <v>4A</v>
      </c>
      <c r="D104" s="3"/>
      <c r="E104" s="3"/>
      <c r="F104" s="3"/>
      <c r="G104" s="3"/>
      <c r="H104" s="3"/>
      <c r="I104" s="3"/>
      <c r="J104" s="3" t="s">
        <v>489</v>
      </c>
      <c r="L104" s="3"/>
      <c r="M104" s="3"/>
      <c r="N104" s="3"/>
      <c r="O104" s="3"/>
      <c r="P104" s="3"/>
      <c r="Q104" s="3"/>
      <c r="R104" s="3"/>
      <c r="S104" s="3"/>
      <c r="T104" s="3"/>
    </row>
    <row r="105" spans="1:20" x14ac:dyDescent="0.25">
      <c r="A105" s="47" t="s">
        <v>547</v>
      </c>
      <c r="B105" s="3">
        <v>80</v>
      </c>
      <c r="C105" s="81" t="str">
        <f t="shared" si="1"/>
        <v>4B</v>
      </c>
      <c r="D105" s="3"/>
      <c r="E105" s="3"/>
      <c r="F105" s="3"/>
      <c r="G105" s="3"/>
      <c r="H105" s="3"/>
      <c r="I105" s="3"/>
      <c r="J105" s="3" t="s">
        <v>489</v>
      </c>
      <c r="L105" s="3"/>
      <c r="M105" s="3"/>
      <c r="N105" s="3"/>
      <c r="O105" s="3"/>
      <c r="P105" s="3"/>
      <c r="Q105" s="3"/>
      <c r="R105" s="3"/>
      <c r="S105" s="3"/>
      <c r="T105" s="3"/>
    </row>
    <row r="106" spans="1:20" x14ac:dyDescent="0.25">
      <c r="A106" s="47" t="s">
        <v>548</v>
      </c>
      <c r="B106" s="3">
        <v>80</v>
      </c>
      <c r="C106" s="81" t="str">
        <f t="shared" si="1"/>
        <v>4C</v>
      </c>
      <c r="D106" s="3"/>
      <c r="E106" s="3"/>
      <c r="F106" s="3"/>
      <c r="G106" s="3"/>
      <c r="H106" s="3"/>
      <c r="I106" s="3"/>
      <c r="J106" s="3" t="s">
        <v>489</v>
      </c>
      <c r="L106" s="3"/>
      <c r="M106" s="3"/>
      <c r="N106" s="3"/>
      <c r="O106" s="3"/>
      <c r="P106" s="3"/>
      <c r="Q106" s="3"/>
      <c r="R106" s="3"/>
      <c r="S106" s="3"/>
      <c r="T106" s="3"/>
    </row>
    <row r="107" spans="1:20" x14ac:dyDescent="0.25">
      <c r="A107" s="61" t="s">
        <v>549</v>
      </c>
      <c r="B107" s="3">
        <v>80</v>
      </c>
      <c r="C107" s="81" t="str">
        <f t="shared" si="1"/>
        <v>4D</v>
      </c>
      <c r="D107" s="3"/>
      <c r="E107" s="3"/>
      <c r="F107" s="3"/>
      <c r="G107" s="3"/>
      <c r="H107" s="3"/>
      <c r="I107" s="3"/>
      <c r="J107" s="3" t="s">
        <v>489</v>
      </c>
      <c r="L107" s="3"/>
      <c r="M107" s="3"/>
      <c r="N107" s="3"/>
      <c r="O107" s="3"/>
      <c r="P107" s="3"/>
      <c r="Q107" s="3"/>
      <c r="R107" s="3"/>
      <c r="S107" s="3"/>
      <c r="T107" s="3"/>
    </row>
    <row r="108" spans="1:20" x14ac:dyDescent="0.25">
      <c r="A108" s="61" t="s">
        <v>550</v>
      </c>
      <c r="B108" s="3">
        <v>80</v>
      </c>
      <c r="C108" s="81" t="str">
        <f t="shared" si="1"/>
        <v>4E</v>
      </c>
      <c r="D108" s="3"/>
      <c r="E108" s="3"/>
      <c r="F108" s="3"/>
      <c r="G108" s="3"/>
      <c r="H108" s="3"/>
      <c r="I108" s="3"/>
      <c r="J108" s="3" t="s">
        <v>489</v>
      </c>
      <c r="L108" s="3"/>
      <c r="M108" s="3"/>
      <c r="N108" s="3"/>
      <c r="O108" s="3"/>
      <c r="P108" s="3"/>
      <c r="Q108" s="3"/>
      <c r="R108" s="3"/>
      <c r="S108" s="3"/>
      <c r="T108" s="3"/>
    </row>
    <row r="109" spans="1:20" x14ac:dyDescent="0.25">
      <c r="A109" s="46" t="s">
        <v>347</v>
      </c>
      <c r="B109" s="3">
        <v>80</v>
      </c>
      <c r="C109" s="81" t="str">
        <f t="shared" si="1"/>
        <v>4F</v>
      </c>
      <c r="D109" s="3" t="s">
        <v>141</v>
      </c>
      <c r="E109" s="3"/>
      <c r="F109" s="3">
        <v>0</v>
      </c>
      <c r="G109" s="3">
        <v>1</v>
      </c>
      <c r="H109" s="3"/>
      <c r="I109" s="3" t="s">
        <v>88</v>
      </c>
      <c r="J109" s="3"/>
      <c r="K109" s="3" t="s">
        <v>651</v>
      </c>
      <c r="L109" s="3"/>
      <c r="M109" s="3"/>
      <c r="N109" s="3"/>
      <c r="O109" s="3"/>
      <c r="P109" s="3"/>
      <c r="Q109" s="3"/>
      <c r="R109" s="3"/>
      <c r="S109" s="3"/>
      <c r="T109" s="3"/>
    </row>
    <row r="110" spans="1:20" x14ac:dyDescent="0.25">
      <c r="A110" s="61" t="s">
        <v>379</v>
      </c>
      <c r="B110" s="3">
        <v>80</v>
      </c>
      <c r="C110" s="81" t="str">
        <f t="shared" si="1"/>
        <v>50</v>
      </c>
      <c r="D110" s="3"/>
      <c r="E110" s="3"/>
      <c r="F110" s="3"/>
      <c r="G110" s="3"/>
      <c r="H110" s="3"/>
      <c r="I110" s="3"/>
      <c r="J110" s="3" t="s">
        <v>489</v>
      </c>
      <c r="L110" s="3"/>
      <c r="M110" s="3"/>
      <c r="N110" s="3"/>
      <c r="O110" s="3"/>
      <c r="P110" s="3"/>
      <c r="Q110" s="3"/>
      <c r="R110" s="3"/>
      <c r="S110" s="3"/>
      <c r="T110" s="3"/>
    </row>
    <row r="111" spans="1:20" x14ac:dyDescent="0.25">
      <c r="A111" s="61" t="s">
        <v>380</v>
      </c>
      <c r="B111" s="3">
        <v>80</v>
      </c>
      <c r="C111" s="81" t="str">
        <f t="shared" si="1"/>
        <v>51</v>
      </c>
      <c r="D111" s="3"/>
      <c r="E111" s="3"/>
      <c r="F111" s="3"/>
      <c r="G111" s="3"/>
      <c r="H111" s="3"/>
      <c r="I111" s="3"/>
      <c r="J111" s="3" t="s">
        <v>489</v>
      </c>
      <c r="L111" s="3"/>
      <c r="M111" s="3"/>
      <c r="N111" s="3"/>
      <c r="O111" s="3"/>
      <c r="P111" s="3"/>
      <c r="Q111" s="3"/>
      <c r="R111" s="3"/>
      <c r="S111" s="3"/>
      <c r="T111" s="3"/>
    </row>
    <row r="112" spans="1:20" x14ac:dyDescent="0.25">
      <c r="A112" s="61" t="s">
        <v>381</v>
      </c>
      <c r="B112" s="3">
        <v>80</v>
      </c>
      <c r="C112" s="81" t="str">
        <f t="shared" si="1"/>
        <v>52</v>
      </c>
      <c r="D112" s="3"/>
      <c r="E112" s="3"/>
      <c r="F112" s="3"/>
      <c r="G112" s="3"/>
      <c r="H112" s="3"/>
      <c r="I112" s="3"/>
      <c r="J112" s="3" t="s">
        <v>489</v>
      </c>
      <c r="L112" s="3"/>
      <c r="M112" s="3"/>
      <c r="N112" s="3"/>
      <c r="O112" s="3"/>
      <c r="P112" s="3"/>
      <c r="Q112" s="3"/>
      <c r="R112" s="3"/>
      <c r="S112" s="3"/>
      <c r="T112" s="3"/>
    </row>
    <row r="113" spans="1:20" x14ac:dyDescent="0.25">
      <c r="A113" s="61" t="s">
        <v>382</v>
      </c>
      <c r="B113" s="3">
        <v>80</v>
      </c>
      <c r="C113" s="81" t="str">
        <f t="shared" si="1"/>
        <v>53</v>
      </c>
      <c r="D113" s="3"/>
      <c r="E113" s="3"/>
      <c r="F113" s="3"/>
      <c r="G113" s="3"/>
      <c r="H113" s="3"/>
      <c r="I113" s="3"/>
      <c r="J113" s="3" t="s">
        <v>489</v>
      </c>
      <c r="L113" s="3"/>
      <c r="M113" s="3"/>
      <c r="N113" s="3"/>
      <c r="O113" s="3"/>
      <c r="P113" s="3"/>
      <c r="Q113" s="3"/>
      <c r="R113" s="3"/>
      <c r="S113" s="3"/>
      <c r="T113" s="3"/>
    </row>
    <row r="114" spans="1:20" x14ac:dyDescent="0.25">
      <c r="A114" s="46" t="s">
        <v>347</v>
      </c>
      <c r="B114" s="3">
        <v>80</v>
      </c>
      <c r="C114" s="81" t="str">
        <f t="shared" si="1"/>
        <v>54</v>
      </c>
      <c r="D114" s="3"/>
      <c r="E114" s="3"/>
      <c r="F114" s="3"/>
      <c r="G114" s="3"/>
      <c r="H114" s="3"/>
      <c r="I114" s="3"/>
      <c r="J114" s="3"/>
      <c r="L114" s="3"/>
      <c r="M114" s="3"/>
    </row>
    <row r="115" spans="1:20" x14ac:dyDescent="0.25">
      <c r="A115" s="41" t="s">
        <v>652</v>
      </c>
      <c r="B115" s="3">
        <v>80</v>
      </c>
      <c r="C115" s="81" t="str">
        <f t="shared" si="1"/>
        <v>55</v>
      </c>
      <c r="D115" s="3" t="s">
        <v>241</v>
      </c>
      <c r="E115" s="3"/>
      <c r="F115" s="3">
        <v>0</v>
      </c>
      <c r="G115" s="3">
        <v>32767</v>
      </c>
      <c r="H115" s="3" t="s">
        <v>643</v>
      </c>
      <c r="I115" s="3" t="s">
        <v>94</v>
      </c>
      <c r="J115" s="3"/>
      <c r="L115" s="3"/>
      <c r="M115" s="3"/>
      <c r="N115" s="3"/>
      <c r="O115" s="3"/>
      <c r="P115" s="3"/>
      <c r="Q115" s="3"/>
      <c r="R115" s="3"/>
      <c r="S115" s="3"/>
      <c r="T115" s="3"/>
    </row>
    <row r="116" spans="1:20" x14ac:dyDescent="0.25">
      <c r="A116" s="41" t="s">
        <v>653</v>
      </c>
      <c r="B116" s="3">
        <v>80</v>
      </c>
      <c r="C116" s="81" t="str">
        <f t="shared" si="1"/>
        <v>56</v>
      </c>
      <c r="D116" s="3" t="s">
        <v>241</v>
      </c>
      <c r="E116" s="3"/>
      <c r="F116" s="3">
        <v>0</v>
      </c>
      <c r="G116" s="3">
        <v>32767</v>
      </c>
      <c r="H116" s="3" t="s">
        <v>643</v>
      </c>
      <c r="I116" s="3" t="s">
        <v>94</v>
      </c>
      <c r="J116" s="3"/>
      <c r="L116" s="3"/>
      <c r="M116" s="3"/>
      <c r="N116" s="3"/>
      <c r="O116" s="3"/>
      <c r="P116" s="3"/>
      <c r="Q116" s="3"/>
      <c r="R116" s="3"/>
      <c r="S116" s="3"/>
      <c r="T116" s="3"/>
    </row>
    <row r="117" spans="1:20" x14ac:dyDescent="0.25">
      <c r="A117" s="19" t="s">
        <v>655</v>
      </c>
      <c r="B117" s="3">
        <v>80</v>
      </c>
      <c r="C117" s="81" t="str">
        <f t="shared" si="1"/>
        <v>57</v>
      </c>
      <c r="D117" s="3" t="s">
        <v>226</v>
      </c>
      <c r="E117" s="3"/>
      <c r="F117" s="3" t="s">
        <v>656</v>
      </c>
      <c r="G117" s="3" t="s">
        <v>657</v>
      </c>
      <c r="H117" s="3" t="s">
        <v>658</v>
      </c>
      <c r="I117" s="3" t="s">
        <v>88</v>
      </c>
      <c r="J117" s="3"/>
      <c r="K117" s="3" t="s">
        <v>659</v>
      </c>
      <c r="L117" s="3"/>
      <c r="M117" s="3"/>
      <c r="N117" s="3"/>
      <c r="O117" s="3"/>
      <c r="P117" s="3"/>
      <c r="Q117" s="3"/>
      <c r="R117" s="3"/>
      <c r="S117" s="3"/>
      <c r="T117" s="3"/>
    </row>
    <row r="118" spans="1:20" x14ac:dyDescent="0.25">
      <c r="A118" s="19" t="s">
        <v>669</v>
      </c>
      <c r="B118" s="3">
        <v>80</v>
      </c>
      <c r="C118" s="81" t="str">
        <f t="shared" si="1"/>
        <v>58</v>
      </c>
      <c r="D118" s="3" t="s">
        <v>226</v>
      </c>
      <c r="E118" s="3"/>
      <c r="F118" s="3" t="s">
        <v>656</v>
      </c>
      <c r="G118" s="3" t="s">
        <v>657</v>
      </c>
      <c r="H118" s="3" t="s">
        <v>658</v>
      </c>
      <c r="I118" s="3" t="s">
        <v>88</v>
      </c>
      <c r="J118" s="3"/>
      <c r="K118" s="3" t="s">
        <v>660</v>
      </c>
      <c r="L118" s="3"/>
      <c r="M118" s="3"/>
      <c r="N118" s="3"/>
      <c r="O118" s="3"/>
      <c r="P118" s="3"/>
      <c r="Q118" s="3"/>
      <c r="R118" s="3"/>
      <c r="S118" s="3"/>
      <c r="T118" s="3"/>
    </row>
    <row r="119" spans="1:20" x14ac:dyDescent="0.25">
      <c r="A119" s="46" t="s">
        <v>347</v>
      </c>
      <c r="B119" s="3">
        <v>80</v>
      </c>
      <c r="C119" s="81" t="str">
        <f t="shared" si="1"/>
        <v>59</v>
      </c>
      <c r="D119" s="3"/>
      <c r="E119" s="3"/>
      <c r="F119" s="3"/>
      <c r="G119" s="3"/>
      <c r="H119" s="3"/>
      <c r="I119" s="3"/>
      <c r="J119" s="3"/>
      <c r="L119" s="3"/>
    </row>
    <row r="120" spans="1:20" x14ac:dyDescent="0.25">
      <c r="A120" s="83" t="s">
        <v>677</v>
      </c>
      <c r="B120" s="3">
        <v>80</v>
      </c>
      <c r="C120" s="81" t="str">
        <f t="shared" si="1"/>
        <v>5A</v>
      </c>
      <c r="D120" s="3" t="s">
        <v>141</v>
      </c>
      <c r="E120" s="3"/>
      <c r="F120" s="3">
        <v>0</v>
      </c>
      <c r="G120" s="3">
        <v>1</v>
      </c>
      <c r="H120" s="3"/>
      <c r="I120" s="3" t="s">
        <v>88</v>
      </c>
      <c r="J120" s="3"/>
      <c r="K120" s="10" t="s">
        <v>683</v>
      </c>
    </row>
    <row r="121" spans="1:20" x14ac:dyDescent="0.25">
      <c r="A121" s="41" t="s">
        <v>678</v>
      </c>
      <c r="B121" s="3">
        <v>80</v>
      </c>
      <c r="C121" s="81" t="str">
        <f t="shared" si="1"/>
        <v>5B</v>
      </c>
      <c r="D121" s="3" t="s">
        <v>241</v>
      </c>
      <c r="E121" s="3"/>
      <c r="F121" s="3">
        <v>20</v>
      </c>
      <c r="G121" s="3">
        <v>600</v>
      </c>
      <c r="H121" s="3" t="s">
        <v>681</v>
      </c>
      <c r="I121" s="3" t="s">
        <v>88</v>
      </c>
      <c r="J121" s="3"/>
      <c r="K121" s="10"/>
    </row>
    <row r="122" spans="1:20" x14ac:dyDescent="0.25">
      <c r="A122" s="41" t="s">
        <v>799</v>
      </c>
      <c r="B122" s="3">
        <v>80</v>
      </c>
      <c r="C122" s="81" t="str">
        <f t="shared" si="1"/>
        <v>5C</v>
      </c>
      <c r="D122" s="3" t="s">
        <v>141</v>
      </c>
      <c r="E122" s="3"/>
      <c r="F122" s="3">
        <v>0</v>
      </c>
      <c r="G122" s="3">
        <v>1</v>
      </c>
      <c r="H122" s="3"/>
      <c r="I122" s="3" t="s">
        <v>94</v>
      </c>
      <c r="J122" s="3"/>
      <c r="K122" s="1"/>
    </row>
    <row r="123" spans="1:20" x14ac:dyDescent="0.25">
      <c r="A123" s="41" t="s">
        <v>800</v>
      </c>
      <c r="B123" s="3">
        <v>80</v>
      </c>
      <c r="C123" s="81" t="str">
        <f t="shared" si="1"/>
        <v>5D</v>
      </c>
      <c r="D123" s="3" t="s">
        <v>141</v>
      </c>
      <c r="E123" s="3"/>
      <c r="F123" s="3">
        <v>0</v>
      </c>
      <c r="G123" s="3">
        <v>1</v>
      </c>
      <c r="H123" s="3"/>
      <c r="I123" s="3" t="s">
        <v>94</v>
      </c>
    </row>
    <row r="124" spans="1:20" x14ac:dyDescent="0.25">
      <c r="A124" s="41" t="s">
        <v>802</v>
      </c>
      <c r="B124" s="3">
        <v>80</v>
      </c>
      <c r="C124" s="81" t="str">
        <f t="shared" si="1"/>
        <v>5E</v>
      </c>
      <c r="D124" s="3" t="s">
        <v>141</v>
      </c>
      <c r="E124" s="3"/>
      <c r="F124" s="3">
        <v>0</v>
      </c>
      <c r="G124" s="3">
        <v>1</v>
      </c>
      <c r="H124" s="3"/>
      <c r="I124" s="3" t="s">
        <v>94</v>
      </c>
    </row>
    <row r="125" spans="1:20" x14ac:dyDescent="0.25">
      <c r="A125" s="41" t="s">
        <v>801</v>
      </c>
      <c r="B125" s="3">
        <v>80</v>
      </c>
      <c r="C125" s="81" t="str">
        <f t="shared" si="1"/>
        <v>5F</v>
      </c>
      <c r="D125" s="3" t="s">
        <v>141</v>
      </c>
      <c r="E125" s="3"/>
      <c r="F125" s="3">
        <v>0</v>
      </c>
      <c r="G125" s="3">
        <v>1</v>
      </c>
      <c r="H125" s="3"/>
      <c r="I125" s="3" t="s">
        <v>94</v>
      </c>
    </row>
  </sheetData>
  <mergeCells count="4">
    <mergeCell ref="B3:C3"/>
    <mergeCell ref="K4:T4"/>
    <mergeCell ref="K29:T29"/>
    <mergeCell ref="A1:J1"/>
  </mergeCells>
  <pageMargins left="0.7" right="0.7" top="0.75" bottom="0.75" header="0.511811023622047" footer="0.511811023622047"/>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33370-2ACF-4B27-98EC-23BC578D5BD7}">
  <dimension ref="A1:AMM125"/>
  <sheetViews>
    <sheetView zoomScale="98" zoomScaleNormal="100" workbookViewId="0">
      <pane xSplit="1" ySplit="3" topLeftCell="B4" activePane="bottomRight" state="frozen"/>
      <selection pane="topRight" activeCell="B1" sqref="B1"/>
      <selection pane="bottomLeft" activeCell="A4" sqref="A4"/>
      <selection pane="bottomRight" activeCell="K4" sqref="A4:T4"/>
    </sheetView>
  </sheetViews>
  <sheetFormatPr defaultColWidth="8.5703125" defaultRowHeight="15" x14ac:dyDescent="0.25"/>
  <cols>
    <col min="1" max="1" width="43.7109375" style="3" bestFit="1" customWidth="1"/>
    <col min="2" max="2" width="9.28515625" style="1" customWidth="1"/>
    <col min="3" max="3" width="9.5703125" style="1" customWidth="1"/>
    <col min="4" max="4" width="31.42578125" style="1" bestFit="1" customWidth="1"/>
    <col min="5" max="5" width="10.28515625" style="1" bestFit="1" customWidth="1"/>
    <col min="6" max="6" width="9.7109375" style="1" bestFit="1" customWidth="1"/>
    <col min="7" max="7" width="14.7109375" style="1" customWidth="1"/>
    <col min="8" max="8" width="17.5703125" style="1" customWidth="1"/>
    <col min="9" max="9" width="4.7109375" style="1" customWidth="1"/>
    <col min="10" max="10" width="7" style="1" bestFit="1" customWidth="1"/>
    <col min="11" max="11" width="69.5703125" style="3" bestFit="1" customWidth="1"/>
    <col min="12" max="12" width="17" style="1" bestFit="1" customWidth="1"/>
    <col min="13" max="13" width="12.5703125" style="1" bestFit="1" customWidth="1"/>
    <col min="14" max="14" width="14.28515625" style="1" bestFit="1" customWidth="1"/>
    <col min="15" max="15" width="12.7109375" style="1" bestFit="1" customWidth="1"/>
    <col min="16" max="16384" width="8.5703125" style="1"/>
  </cols>
  <sheetData>
    <row r="1" spans="1:20" x14ac:dyDescent="0.25">
      <c r="A1" s="100" t="s">
        <v>780</v>
      </c>
      <c r="B1" s="100"/>
      <c r="C1" s="100"/>
      <c r="D1" s="100"/>
      <c r="E1" s="100"/>
      <c r="F1" s="100"/>
      <c r="G1" s="100"/>
      <c r="H1" s="100"/>
      <c r="I1" s="100"/>
      <c r="J1" s="100"/>
    </row>
    <row r="2" spans="1:20" x14ac:dyDescent="0.25">
      <c r="A2" s="3" t="s">
        <v>804</v>
      </c>
      <c r="J2" s="3"/>
      <c r="K2" s="1"/>
    </row>
    <row r="3" spans="1:20" x14ac:dyDescent="0.25">
      <c r="A3" s="14" t="s">
        <v>805</v>
      </c>
      <c r="B3" s="102" t="s">
        <v>496</v>
      </c>
      <c r="C3" s="103"/>
      <c r="D3" s="2" t="s">
        <v>83</v>
      </c>
      <c r="E3" s="15" t="s">
        <v>84</v>
      </c>
      <c r="F3" s="16" t="s">
        <v>85</v>
      </c>
      <c r="G3" s="16" t="s">
        <v>86</v>
      </c>
      <c r="H3" s="17" t="s">
        <v>87</v>
      </c>
      <c r="I3" s="18" t="s">
        <v>88</v>
      </c>
      <c r="J3" s="44" t="s">
        <v>487</v>
      </c>
      <c r="K3" s="3" t="s">
        <v>135</v>
      </c>
      <c r="L3" s="3" t="s">
        <v>351</v>
      </c>
      <c r="M3" s="3" t="s">
        <v>357</v>
      </c>
      <c r="N3" s="3" t="s">
        <v>352</v>
      </c>
      <c r="O3" s="3" t="s">
        <v>355</v>
      </c>
      <c r="P3" s="3"/>
      <c r="Q3" s="3"/>
      <c r="R3" s="3"/>
      <c r="S3" s="3"/>
      <c r="T3" s="3"/>
    </row>
    <row r="4" spans="1:20" customFormat="1" x14ac:dyDescent="0.25">
      <c r="A4" s="43" t="s">
        <v>89</v>
      </c>
      <c r="B4" s="60"/>
      <c r="C4" s="60"/>
      <c r="D4" s="60"/>
      <c r="E4" s="60"/>
      <c r="F4" s="60"/>
      <c r="G4" s="60"/>
      <c r="H4" s="60"/>
      <c r="I4" s="60"/>
      <c r="J4" s="82"/>
      <c r="K4" s="104"/>
      <c r="L4" s="105"/>
      <c r="M4" s="105"/>
      <c r="N4" s="105"/>
      <c r="O4" s="105"/>
      <c r="P4" s="105"/>
      <c r="Q4" s="105"/>
      <c r="R4" s="105"/>
      <c r="S4" s="105"/>
      <c r="T4" s="106"/>
    </row>
    <row r="5" spans="1:20" customFormat="1" x14ac:dyDescent="0.25">
      <c r="A5" s="41"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c r="L5" s="3"/>
      <c r="M5" s="3"/>
      <c r="N5" s="3"/>
      <c r="O5" s="3"/>
      <c r="P5" s="3"/>
      <c r="Q5" s="3"/>
      <c r="R5" s="3"/>
      <c r="S5" s="3"/>
      <c r="T5" s="3"/>
    </row>
    <row r="6" spans="1:20" customFormat="1" x14ac:dyDescent="0.25">
      <c r="A6" s="41"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3"/>
      <c r="L6" s="3"/>
      <c r="M6" s="3"/>
      <c r="N6" s="3"/>
      <c r="O6" s="3"/>
      <c r="P6" s="3"/>
      <c r="Q6" s="3"/>
      <c r="R6" s="3"/>
      <c r="S6" s="3"/>
      <c r="T6" s="3"/>
    </row>
    <row r="7" spans="1:20" customFormat="1" x14ac:dyDescent="0.25">
      <c r="A7" s="41"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c r="K7" s="3" t="s">
        <v>806</v>
      </c>
      <c r="L7" s="3"/>
      <c r="M7" s="3"/>
      <c r="N7" s="3"/>
      <c r="O7" s="3"/>
      <c r="P7" s="3"/>
      <c r="Q7" s="3"/>
      <c r="R7" s="3"/>
      <c r="S7" s="3"/>
      <c r="T7" s="3"/>
    </row>
    <row r="8" spans="1:20" customFormat="1" x14ac:dyDescent="0.25">
      <c r="A8" s="41"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c r="K8" s="3"/>
      <c r="L8" s="3"/>
      <c r="M8" s="3"/>
      <c r="N8" s="3"/>
      <c r="O8" s="3"/>
      <c r="P8" s="3"/>
      <c r="Q8" s="3"/>
      <c r="R8" s="3"/>
      <c r="S8" s="3"/>
      <c r="T8" s="3"/>
    </row>
    <row r="9" spans="1:20" customFormat="1" x14ac:dyDescent="0.25">
      <c r="A9" s="41"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94</v>
      </c>
      <c r="J9" s="3"/>
      <c r="K9" s="3" t="s">
        <v>586</v>
      </c>
      <c r="L9" s="3"/>
      <c r="M9" s="3"/>
      <c r="N9" s="3"/>
      <c r="O9" s="3"/>
      <c r="P9" s="3"/>
      <c r="Q9" s="3"/>
      <c r="R9" s="3"/>
      <c r="S9" s="3"/>
      <c r="T9" s="3"/>
    </row>
    <row r="10" spans="1:20" customFormat="1" x14ac:dyDescent="0.25">
      <c r="A10" s="41"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3"/>
      <c r="L10" s="3"/>
      <c r="M10" s="3"/>
      <c r="N10" s="3"/>
      <c r="O10" s="3"/>
      <c r="P10" s="3"/>
      <c r="Q10" s="3"/>
      <c r="R10" s="3"/>
      <c r="S10" s="3"/>
      <c r="T10" s="3"/>
    </row>
    <row r="11" spans="1:20" customFormat="1" ht="180" x14ac:dyDescent="0.25">
      <c r="A11" s="41"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t="s">
        <v>508</v>
      </c>
      <c r="K11" s="24" t="s">
        <v>807</v>
      </c>
      <c r="L11" s="3"/>
      <c r="M11" s="3"/>
      <c r="N11" s="3"/>
      <c r="O11" s="3"/>
      <c r="P11" s="3"/>
      <c r="Q11" s="3"/>
      <c r="R11" s="3"/>
      <c r="S11" s="3"/>
      <c r="T11" s="3"/>
    </row>
    <row r="12" spans="1:20" customFormat="1" x14ac:dyDescent="0.25">
      <c r="A12" s="61"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3"/>
      <c r="K12" s="3"/>
      <c r="L12" s="3"/>
      <c r="M12" s="3"/>
      <c r="N12" s="3"/>
      <c r="O12" s="3"/>
      <c r="P12" s="3"/>
      <c r="Q12" s="3"/>
      <c r="R12" s="3"/>
      <c r="S12" s="3"/>
      <c r="T12" s="3"/>
    </row>
    <row r="13" spans="1:20" customFormat="1" x14ac:dyDescent="0.25">
      <c r="A13" s="61"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3"/>
      <c r="K13" s="3"/>
      <c r="L13" s="3"/>
      <c r="M13" s="3"/>
      <c r="N13" s="3"/>
      <c r="O13" s="3"/>
      <c r="P13" s="3"/>
      <c r="Q13" s="3"/>
      <c r="R13" s="3"/>
      <c r="S13" s="3"/>
      <c r="T13" s="3"/>
    </row>
    <row r="14" spans="1:20" customFormat="1" x14ac:dyDescent="0.25">
      <c r="A14" s="61"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3"/>
      <c r="K14" s="3"/>
      <c r="L14" s="3"/>
      <c r="M14" s="3"/>
      <c r="N14" s="3"/>
      <c r="O14" s="3"/>
      <c r="P14" s="3"/>
      <c r="Q14" s="3"/>
      <c r="R14" s="3"/>
      <c r="S14" s="3"/>
      <c r="T14" s="3"/>
    </row>
    <row r="15" spans="1:20" customFormat="1" x14ac:dyDescent="0.25">
      <c r="A15" s="61"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3"/>
      <c r="K15" s="3"/>
      <c r="L15" s="3"/>
      <c r="M15" s="3"/>
      <c r="N15" s="3"/>
      <c r="O15" s="3"/>
      <c r="P15" s="3"/>
      <c r="Q15" s="3"/>
      <c r="R15" s="3"/>
      <c r="S15" s="3"/>
      <c r="T15" s="3"/>
    </row>
    <row r="16" spans="1:20" customFormat="1" x14ac:dyDescent="0.25">
      <c r="A16" s="61"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3"/>
      <c r="K16" s="3"/>
      <c r="L16" s="3"/>
      <c r="M16" s="3"/>
      <c r="N16" s="3"/>
      <c r="O16" s="3"/>
      <c r="P16" s="3"/>
      <c r="Q16" s="3"/>
      <c r="R16" s="3"/>
      <c r="S16" s="3"/>
      <c r="T16" s="3"/>
    </row>
    <row r="17" spans="1:20" customFormat="1" x14ac:dyDescent="0.25">
      <c r="A17" s="61"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3"/>
      <c r="K17" s="3"/>
      <c r="L17" s="3"/>
      <c r="M17" s="3"/>
      <c r="N17" s="3"/>
      <c r="O17" s="3"/>
      <c r="P17" s="3"/>
      <c r="Q17" s="3"/>
      <c r="R17" s="3"/>
      <c r="S17" s="3"/>
      <c r="T17" s="3"/>
    </row>
    <row r="18" spans="1:20" customFormat="1" x14ac:dyDescent="0.25">
      <c r="A18" s="61"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3"/>
      <c r="K18" s="3"/>
      <c r="L18" s="3"/>
      <c r="M18" s="3"/>
      <c r="N18" s="3"/>
      <c r="O18" s="3"/>
      <c r="P18" s="3"/>
      <c r="Q18" s="3"/>
      <c r="R18" s="3"/>
      <c r="S18" s="3"/>
      <c r="T18" s="3"/>
    </row>
    <row r="19" spans="1:20" customFormat="1" x14ac:dyDescent="0.25">
      <c r="A19" s="41"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3"/>
      <c r="K19" s="3" t="s">
        <v>647</v>
      </c>
      <c r="L19" s="3"/>
      <c r="M19" s="3"/>
      <c r="N19" s="3"/>
      <c r="O19" s="3"/>
      <c r="P19" s="3"/>
      <c r="Q19" s="3"/>
      <c r="R19" s="3"/>
      <c r="S19" s="3"/>
      <c r="T19" s="3"/>
    </row>
    <row r="20" spans="1:20" customFormat="1" x14ac:dyDescent="0.25">
      <c r="A20" s="61"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v>0</v>
      </c>
      <c r="G20" s="3">
        <v>100</v>
      </c>
      <c r="H20" s="3" t="s">
        <v>649</v>
      </c>
      <c r="I20" s="3" t="str">
        <f>IF('DATI LOGICI'!I18&lt;&gt;"",'DATI LOGICI'!I18,"")</f>
        <v>R</v>
      </c>
      <c r="J20" s="3"/>
      <c r="K20" s="3"/>
      <c r="L20" s="3"/>
      <c r="M20" s="3"/>
      <c r="N20" s="3"/>
      <c r="O20" s="3"/>
      <c r="P20" s="3"/>
      <c r="Q20" s="3"/>
      <c r="R20" s="3"/>
      <c r="S20" s="3"/>
      <c r="T20" s="3"/>
    </row>
    <row r="21" spans="1:20" customFormat="1" x14ac:dyDescent="0.25">
      <c r="A21" s="61"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3"/>
      <c r="K21" s="3"/>
      <c r="L21" s="3"/>
      <c r="M21" s="3"/>
      <c r="N21" s="3"/>
      <c r="O21" s="3"/>
      <c r="P21" s="3"/>
      <c r="Q21" s="3"/>
      <c r="R21" s="3"/>
      <c r="S21" s="3"/>
      <c r="T21" s="3"/>
    </row>
    <row r="22" spans="1:20" customFormat="1" x14ac:dyDescent="0.25">
      <c r="A22" s="61"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3"/>
      <c r="K22" s="3"/>
      <c r="L22" s="3"/>
      <c r="M22" s="3"/>
      <c r="N22" s="3"/>
      <c r="O22" s="3"/>
      <c r="P22" s="3"/>
      <c r="Q22" s="3"/>
      <c r="R22" s="3"/>
      <c r="S22" s="3"/>
      <c r="T22" s="3"/>
    </row>
    <row r="23" spans="1:20" customFormat="1" x14ac:dyDescent="0.25">
      <c r="A23" s="61"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3"/>
      <c r="K23" s="3"/>
      <c r="L23" s="3"/>
      <c r="M23" s="3"/>
      <c r="N23" s="3"/>
      <c r="O23" s="3"/>
      <c r="P23" s="3"/>
      <c r="Q23" s="3"/>
      <c r="R23" s="3"/>
      <c r="S23" s="3"/>
      <c r="T23" s="3"/>
    </row>
    <row r="24" spans="1:20" customFormat="1" x14ac:dyDescent="0.25">
      <c r="A24" s="61"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3"/>
      <c r="K24" s="3"/>
      <c r="L24" s="3"/>
      <c r="M24" s="3"/>
      <c r="N24" s="3"/>
      <c r="O24" s="3"/>
      <c r="P24" s="3"/>
      <c r="Q24" s="3"/>
      <c r="R24" s="3"/>
      <c r="S24" s="3"/>
      <c r="T24" s="3"/>
    </row>
    <row r="25" spans="1:20" customFormat="1" x14ac:dyDescent="0.25">
      <c r="A25" s="61"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3"/>
      <c r="K25" s="3"/>
      <c r="L25" s="3"/>
      <c r="M25" s="3"/>
      <c r="N25" s="3"/>
      <c r="O25" s="3"/>
      <c r="P25" s="3"/>
      <c r="Q25" s="3"/>
      <c r="R25" s="3"/>
      <c r="S25" s="3"/>
      <c r="T25" s="3"/>
    </row>
    <row r="26" spans="1:20" customFormat="1" x14ac:dyDescent="0.25">
      <c r="A26" s="41"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3"/>
      <c r="K26" s="3"/>
      <c r="L26" s="3"/>
      <c r="M26" s="3"/>
      <c r="N26" s="3"/>
      <c r="O26" s="3"/>
      <c r="P26" s="3"/>
      <c r="Q26" s="3"/>
      <c r="R26" s="3"/>
      <c r="S26" s="3"/>
      <c r="T26" s="3"/>
    </row>
    <row r="27" spans="1:20" customFormat="1" x14ac:dyDescent="0.25">
      <c r="A27" s="61"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J27" s="3"/>
      <c r="K27" s="3"/>
      <c r="L27" s="3"/>
      <c r="M27" s="3"/>
      <c r="N27" s="3"/>
      <c r="O27" s="3"/>
      <c r="P27" s="3"/>
      <c r="Q27" s="3"/>
      <c r="R27" s="3"/>
      <c r="S27" s="3"/>
      <c r="T27" s="3"/>
    </row>
    <row r="28" spans="1:20" x14ac:dyDescent="0.25">
      <c r="B28" s="3"/>
      <c r="C28" s="3"/>
      <c r="D28" s="3"/>
      <c r="E28" s="3"/>
      <c r="F28" s="3"/>
      <c r="G28" s="3"/>
      <c r="H28" s="3"/>
      <c r="I28" s="3"/>
      <c r="J28" s="3"/>
      <c r="L28" s="3"/>
      <c r="M28" s="3"/>
      <c r="N28" s="3"/>
      <c r="O28" s="3"/>
      <c r="P28" s="3"/>
      <c r="Q28" s="3"/>
      <c r="R28" s="3"/>
      <c r="S28" s="3"/>
      <c r="T28" s="3"/>
    </row>
    <row r="29" spans="1:20" x14ac:dyDescent="0.25">
      <c r="A29" s="43" t="s">
        <v>808</v>
      </c>
      <c r="B29" s="60"/>
      <c r="C29" s="60"/>
      <c r="D29" s="60"/>
      <c r="E29" s="60"/>
      <c r="F29" s="60"/>
      <c r="G29" s="60"/>
      <c r="H29" s="60"/>
      <c r="I29" s="60"/>
      <c r="J29" s="60"/>
      <c r="K29" s="104"/>
      <c r="L29" s="105"/>
      <c r="M29" s="105"/>
      <c r="N29" s="105"/>
      <c r="O29" s="105"/>
      <c r="P29" s="105"/>
      <c r="Q29" s="105"/>
      <c r="R29" s="105"/>
      <c r="S29" s="105"/>
      <c r="T29" s="106"/>
    </row>
    <row r="30" spans="1:20" x14ac:dyDescent="0.25">
      <c r="A30" s="19" t="s">
        <v>809</v>
      </c>
      <c r="B30" s="3">
        <v>80</v>
      </c>
      <c r="C30" s="81" t="str">
        <f>DEC2HEX(0)</f>
        <v>0</v>
      </c>
      <c r="D30" s="3" t="s">
        <v>241</v>
      </c>
      <c r="E30" s="3"/>
      <c r="F30" s="3"/>
      <c r="G30" s="3"/>
      <c r="H30" s="3"/>
      <c r="I30" s="3" t="s">
        <v>101</v>
      </c>
      <c r="J30" s="3"/>
      <c r="K30" s="10" t="s">
        <v>810</v>
      </c>
      <c r="L30" s="3"/>
      <c r="M30" s="3"/>
      <c r="N30" s="3"/>
      <c r="O30" s="3"/>
      <c r="P30" s="3"/>
      <c r="Q30" s="3"/>
      <c r="R30" s="3"/>
      <c r="S30" s="3"/>
      <c r="T30" s="3"/>
    </row>
    <row r="31" spans="1:20" x14ac:dyDescent="0.25">
      <c r="A31" s="19" t="s">
        <v>811</v>
      </c>
      <c r="B31" s="3">
        <v>80</v>
      </c>
      <c r="C31" s="81" t="str">
        <f>DEC2HEX(HEX2DEC(C30)+1)</f>
        <v>1</v>
      </c>
      <c r="D31" s="3" t="s">
        <v>241</v>
      </c>
      <c r="E31" s="3"/>
      <c r="F31" s="3"/>
      <c r="G31" s="3"/>
      <c r="H31" s="3"/>
      <c r="I31" s="3" t="s">
        <v>101</v>
      </c>
      <c r="J31" s="3"/>
      <c r="K31" s="10" t="s">
        <v>812</v>
      </c>
      <c r="L31" s="3"/>
      <c r="M31" s="3"/>
      <c r="N31" s="3"/>
      <c r="O31" s="3"/>
      <c r="P31" s="3"/>
      <c r="Q31" s="3"/>
      <c r="R31" s="3"/>
      <c r="S31" s="3"/>
      <c r="T31" s="3"/>
    </row>
    <row r="32" spans="1:20" x14ac:dyDescent="0.25">
      <c r="A32" s="19" t="s">
        <v>813</v>
      </c>
      <c r="B32" s="3">
        <v>80</v>
      </c>
      <c r="C32" s="81" t="str">
        <f t="shared" ref="C32:C56" si="0">DEC2HEX(HEX2DEC(C31)+1)</f>
        <v>2</v>
      </c>
      <c r="D32" s="3" t="s">
        <v>241</v>
      </c>
      <c r="E32" s="3"/>
      <c r="F32" s="3"/>
      <c r="G32" s="3"/>
      <c r="H32" s="3"/>
      <c r="I32" s="3" t="s">
        <v>101</v>
      </c>
      <c r="J32" s="3"/>
      <c r="K32" s="10" t="s">
        <v>814</v>
      </c>
      <c r="L32" s="3"/>
      <c r="M32" s="3"/>
      <c r="N32" s="3"/>
      <c r="O32" s="3"/>
      <c r="P32" s="3"/>
      <c r="Q32" s="3"/>
      <c r="R32" s="3"/>
      <c r="S32" s="3"/>
      <c r="T32" s="3"/>
    </row>
    <row r="33" spans="1:1027" x14ac:dyDescent="0.25">
      <c r="A33" s="19" t="s">
        <v>815</v>
      </c>
      <c r="B33" s="3">
        <v>80</v>
      </c>
      <c r="C33" s="81" t="str">
        <f t="shared" si="0"/>
        <v>3</v>
      </c>
      <c r="D33" s="3" t="s">
        <v>241</v>
      </c>
      <c r="E33" s="3"/>
      <c r="F33" s="3"/>
      <c r="G33" s="3"/>
      <c r="H33" s="3"/>
      <c r="I33" s="3" t="s">
        <v>94</v>
      </c>
      <c r="J33" s="3"/>
      <c r="L33" s="3"/>
      <c r="M33" s="3"/>
      <c r="N33" s="3"/>
      <c r="O33" s="3"/>
      <c r="P33" s="3"/>
      <c r="Q33" s="3"/>
      <c r="R33" s="3"/>
      <c r="S33" s="3"/>
      <c r="T33" s="3"/>
    </row>
    <row r="34" spans="1:1027" x14ac:dyDescent="0.25">
      <c r="A34" s="19" t="s">
        <v>816</v>
      </c>
      <c r="B34" s="3">
        <v>80</v>
      </c>
      <c r="C34" s="81" t="str">
        <f t="shared" si="0"/>
        <v>4</v>
      </c>
      <c r="D34" s="3" t="s">
        <v>241</v>
      </c>
      <c r="E34" s="3"/>
      <c r="F34" s="3"/>
      <c r="G34" s="3"/>
      <c r="H34" s="3"/>
      <c r="I34" s="3" t="s">
        <v>101</v>
      </c>
      <c r="J34" s="3"/>
      <c r="L34" s="3"/>
    </row>
    <row r="35" spans="1:1027" x14ac:dyDescent="0.25">
      <c r="A35" s="19" t="s">
        <v>817</v>
      </c>
      <c r="B35" s="3">
        <v>80</v>
      </c>
      <c r="C35" s="81" t="str">
        <f t="shared" si="0"/>
        <v>5</v>
      </c>
      <c r="D35" s="3" t="s">
        <v>241</v>
      </c>
      <c r="E35" s="3"/>
      <c r="F35" s="3"/>
      <c r="G35" s="3"/>
      <c r="H35" s="3"/>
      <c r="I35" s="3" t="s">
        <v>101</v>
      </c>
      <c r="J35" s="3"/>
      <c r="L35" s="3"/>
    </row>
    <row r="36" spans="1:1027" x14ac:dyDescent="0.25">
      <c r="A36" s="19" t="s">
        <v>818</v>
      </c>
      <c r="B36" s="3">
        <v>80</v>
      </c>
      <c r="C36" s="81" t="str">
        <f t="shared" si="0"/>
        <v>6</v>
      </c>
      <c r="D36" s="3" t="s">
        <v>241</v>
      </c>
      <c r="E36" s="3"/>
      <c r="F36" s="3"/>
      <c r="G36" s="3"/>
      <c r="H36" s="3"/>
      <c r="I36" s="3" t="s">
        <v>101</v>
      </c>
      <c r="J36" s="3"/>
      <c r="L36" s="3"/>
      <c r="M36" s="3"/>
      <c r="N36" s="3"/>
      <c r="O36" s="3"/>
      <c r="P36" s="3"/>
      <c r="Q36" s="3"/>
      <c r="R36" s="3"/>
      <c r="S36" s="3"/>
      <c r="T36" s="3"/>
    </row>
    <row r="37" spans="1:1027" x14ac:dyDescent="0.25">
      <c r="A37" s="19" t="s">
        <v>821</v>
      </c>
      <c r="B37" s="3">
        <v>80</v>
      </c>
      <c r="C37" s="81" t="str">
        <f t="shared" si="0"/>
        <v>7</v>
      </c>
      <c r="D37" s="3" t="s">
        <v>138</v>
      </c>
      <c r="F37" s="3"/>
      <c r="G37" s="3"/>
      <c r="H37" s="3"/>
      <c r="I37" s="3" t="s">
        <v>88</v>
      </c>
      <c r="L37" s="3"/>
      <c r="M37" s="3"/>
      <c r="N37" s="3"/>
      <c r="O37" s="3"/>
      <c r="P37" s="3"/>
      <c r="Q37" s="3"/>
      <c r="R37" s="3"/>
      <c r="S37" s="3"/>
      <c r="T37" s="3"/>
    </row>
    <row r="38" spans="1:1027" x14ac:dyDescent="0.25">
      <c r="A38" s="19" t="s">
        <v>820</v>
      </c>
      <c r="B38" s="3">
        <v>80</v>
      </c>
      <c r="C38" s="81" t="str">
        <f t="shared" si="0"/>
        <v>8</v>
      </c>
      <c r="D38" s="3" t="s">
        <v>138</v>
      </c>
      <c r="F38" s="3"/>
      <c r="G38" s="3"/>
      <c r="H38" s="3"/>
      <c r="I38" s="3" t="s">
        <v>88</v>
      </c>
      <c r="L38" s="3"/>
      <c r="M38" s="3"/>
      <c r="N38" s="3"/>
      <c r="O38" s="3"/>
      <c r="P38" s="3"/>
      <c r="Q38" s="3"/>
      <c r="R38" s="3"/>
      <c r="S38" s="3"/>
      <c r="T38" s="3"/>
    </row>
    <row r="39" spans="1:1027" customFormat="1" x14ac:dyDescent="0.25">
      <c r="A39" s="19" t="s">
        <v>819</v>
      </c>
      <c r="B39" s="3">
        <v>80</v>
      </c>
      <c r="C39" s="81" t="str">
        <f t="shared" si="0"/>
        <v>9</v>
      </c>
      <c r="D39" s="3" t="s">
        <v>138</v>
      </c>
      <c r="E39" s="1"/>
      <c r="F39" s="3"/>
      <c r="G39" s="3"/>
      <c r="H39" s="3"/>
      <c r="I39" s="3" t="s">
        <v>88</v>
      </c>
      <c r="J39" s="1"/>
      <c r="K39" s="3"/>
      <c r="L39" s="3"/>
      <c r="M39" s="3"/>
      <c r="N39" s="3"/>
      <c r="O39" s="3"/>
      <c r="P39" s="3"/>
      <c r="Q39" s="3"/>
      <c r="R39" s="3"/>
      <c r="S39" s="3"/>
      <c r="T39" s="3"/>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c r="QF39" s="1"/>
      <c r="QG39" s="1"/>
      <c r="QH39" s="1"/>
      <c r="QI39" s="1"/>
      <c r="QJ39" s="1"/>
      <c r="QK39" s="1"/>
      <c r="QL39" s="1"/>
      <c r="QM39" s="1"/>
      <c r="QN39" s="1"/>
      <c r="QO39" s="1"/>
      <c r="QP39" s="1"/>
      <c r="QQ39" s="1"/>
      <c r="QR39" s="1"/>
      <c r="QS39" s="1"/>
      <c r="QT39" s="1"/>
      <c r="QU39" s="1"/>
      <c r="QV39" s="1"/>
      <c r="QW39" s="1"/>
      <c r="QX39" s="1"/>
      <c r="QY39" s="1"/>
      <c r="QZ39" s="1"/>
      <c r="RA39" s="1"/>
      <c r="RB39" s="1"/>
      <c r="RC39" s="1"/>
      <c r="RD39" s="1"/>
      <c r="RE39" s="1"/>
      <c r="RF39" s="1"/>
      <c r="RG39" s="1"/>
      <c r="RH39" s="1"/>
      <c r="RI39" s="1"/>
      <c r="RJ39" s="1"/>
      <c r="RK39" s="1"/>
      <c r="RL39" s="1"/>
      <c r="RM39" s="1"/>
      <c r="RN39" s="1"/>
      <c r="RO39" s="1"/>
      <c r="RP39" s="1"/>
      <c r="RQ39" s="1"/>
      <c r="RR39" s="1"/>
      <c r="RS39" s="1"/>
      <c r="RT39" s="1"/>
      <c r="RU39" s="1"/>
      <c r="RV39" s="1"/>
      <c r="RW39" s="1"/>
      <c r="RX39" s="1"/>
      <c r="RY39" s="1"/>
      <c r="RZ39" s="1"/>
      <c r="SA39" s="1"/>
      <c r="SB39" s="1"/>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c r="TH39" s="1"/>
      <c r="TI39" s="1"/>
      <c r="TJ39" s="1"/>
      <c r="TK39" s="1"/>
      <c r="TL39" s="1"/>
      <c r="TM39" s="1"/>
      <c r="TN39" s="1"/>
      <c r="TO39" s="1"/>
      <c r="TP39" s="1"/>
      <c r="TQ39" s="1"/>
      <c r="TR39" s="1"/>
      <c r="TS39" s="1"/>
      <c r="TT39" s="1"/>
      <c r="TU39" s="1"/>
      <c r="TV39" s="1"/>
      <c r="TW39" s="1"/>
      <c r="TX39" s="1"/>
      <c r="TY39" s="1"/>
      <c r="TZ39" s="1"/>
      <c r="UA39" s="1"/>
      <c r="UB39" s="1"/>
      <c r="UC39" s="1"/>
      <c r="UD39" s="1"/>
      <c r="UE39" s="1"/>
      <c r="UF39" s="1"/>
      <c r="UG39" s="1"/>
      <c r="UH39" s="1"/>
      <c r="UI39" s="1"/>
      <c r="UJ39" s="1"/>
      <c r="UK39" s="1"/>
      <c r="UL39" s="1"/>
      <c r="UM39" s="1"/>
      <c r="UN39" s="1"/>
      <c r="UO39" s="1"/>
      <c r="UP39" s="1"/>
      <c r="UQ39" s="1"/>
      <c r="UR39" s="1"/>
      <c r="US39" s="1"/>
      <c r="UT39" s="1"/>
      <c r="UU39" s="1"/>
      <c r="UV39" s="1"/>
      <c r="UW39" s="1"/>
      <c r="UX39" s="1"/>
      <c r="UY39" s="1"/>
      <c r="UZ39" s="1"/>
      <c r="VA39" s="1"/>
      <c r="VB39" s="1"/>
      <c r="VC39" s="1"/>
      <c r="VD39" s="1"/>
      <c r="VE39" s="1"/>
      <c r="VF39" s="1"/>
      <c r="VG39" s="1"/>
      <c r="VH39" s="1"/>
      <c r="VI39" s="1"/>
      <c r="VJ39" s="1"/>
      <c r="VK39" s="1"/>
      <c r="VL39" s="1"/>
      <c r="VM39" s="1"/>
      <c r="VN39" s="1"/>
      <c r="VO39" s="1"/>
      <c r="VP39" s="1"/>
      <c r="VQ39" s="1"/>
      <c r="VR39" s="1"/>
      <c r="VS39" s="1"/>
      <c r="VT39" s="1"/>
      <c r="VU39" s="1"/>
      <c r="VV39" s="1"/>
      <c r="VW39" s="1"/>
      <c r="VX39" s="1"/>
      <c r="VY39" s="1"/>
      <c r="VZ39" s="1"/>
      <c r="WA39" s="1"/>
      <c r="WB39" s="1"/>
      <c r="WC39" s="1"/>
      <c r="WD39" s="1"/>
      <c r="WE39" s="1"/>
      <c r="WF39" s="1"/>
      <c r="WG39" s="1"/>
      <c r="WH39" s="1"/>
      <c r="WI39" s="1"/>
      <c r="WJ39" s="1"/>
      <c r="WK39" s="1"/>
      <c r="WL39" s="1"/>
      <c r="WM39" s="1"/>
      <c r="WN39" s="1"/>
      <c r="WO39" s="1"/>
      <c r="WP39" s="1"/>
      <c r="WQ39" s="1"/>
      <c r="WR39" s="1"/>
      <c r="WS39" s="1"/>
      <c r="WT39" s="1"/>
      <c r="WU39" s="1"/>
      <c r="WV39" s="1"/>
      <c r="WW39" s="1"/>
      <c r="WX39" s="1"/>
      <c r="WY39" s="1"/>
      <c r="WZ39" s="1"/>
      <c r="XA39" s="1"/>
      <c r="XB39" s="1"/>
      <c r="XC39" s="1"/>
      <c r="XD39" s="1"/>
      <c r="XE39" s="1"/>
      <c r="XF39" s="1"/>
      <c r="XG39" s="1"/>
      <c r="XH39" s="1"/>
      <c r="XI39" s="1"/>
      <c r="XJ39" s="1"/>
      <c r="XK39" s="1"/>
      <c r="XL39" s="1"/>
      <c r="XM39" s="1"/>
      <c r="XN39" s="1"/>
      <c r="XO39" s="1"/>
      <c r="XP39" s="1"/>
      <c r="XQ39" s="1"/>
      <c r="XR39" s="1"/>
      <c r="XS39" s="1"/>
      <c r="XT39" s="1"/>
      <c r="XU39" s="1"/>
      <c r="XV39" s="1"/>
      <c r="XW39" s="1"/>
      <c r="XX39" s="1"/>
      <c r="XY39" s="1"/>
      <c r="XZ39" s="1"/>
      <c r="YA39" s="1"/>
      <c r="YB39" s="1"/>
      <c r="YC39" s="1"/>
      <c r="YD39" s="1"/>
      <c r="YE39" s="1"/>
      <c r="YF39" s="1"/>
      <c r="YG39" s="1"/>
      <c r="YH39" s="1"/>
      <c r="YI39" s="1"/>
      <c r="YJ39" s="1"/>
      <c r="YK39" s="1"/>
      <c r="YL39" s="1"/>
      <c r="YM39" s="1"/>
      <c r="YN39" s="1"/>
      <c r="YO39" s="1"/>
      <c r="YP39" s="1"/>
      <c r="YQ39" s="1"/>
      <c r="YR39" s="1"/>
      <c r="YS39" s="1"/>
      <c r="YT39" s="1"/>
      <c r="YU39" s="1"/>
      <c r="YV39" s="1"/>
      <c r="YW39" s="1"/>
      <c r="YX39" s="1"/>
      <c r="YY39" s="1"/>
      <c r="YZ39" s="1"/>
      <c r="ZA39" s="1"/>
      <c r="ZB39" s="1"/>
      <c r="ZC39" s="1"/>
      <c r="ZD39" s="1"/>
      <c r="ZE39" s="1"/>
      <c r="ZF39" s="1"/>
      <c r="ZG39" s="1"/>
      <c r="ZH39" s="1"/>
      <c r="ZI39" s="1"/>
      <c r="ZJ39" s="1"/>
      <c r="ZK39" s="1"/>
      <c r="ZL39" s="1"/>
      <c r="ZM39" s="1"/>
      <c r="ZN39" s="1"/>
      <c r="ZO39" s="1"/>
      <c r="ZP39" s="1"/>
      <c r="ZQ39" s="1"/>
      <c r="ZR39" s="1"/>
      <c r="ZS39" s="1"/>
      <c r="ZT39" s="1"/>
      <c r="ZU39" s="1"/>
      <c r="ZV39" s="1"/>
      <c r="ZW39" s="1"/>
      <c r="ZX39" s="1"/>
      <c r="ZY39" s="1"/>
      <c r="ZZ39" s="1"/>
      <c r="AAA39" s="1"/>
      <c r="AAB39" s="1"/>
      <c r="AAC39" s="1"/>
      <c r="AAD39" s="1"/>
      <c r="AAE39" s="1"/>
      <c r="AAF39" s="1"/>
      <c r="AAG39" s="1"/>
      <c r="AAH39" s="1"/>
      <c r="AAI39" s="1"/>
      <c r="AAJ39" s="1"/>
      <c r="AAK39" s="1"/>
      <c r="AAL39" s="1"/>
      <c r="AAM39" s="1"/>
      <c r="AAN39" s="1"/>
      <c r="AAO39" s="1"/>
      <c r="AAP39" s="1"/>
      <c r="AAQ39" s="1"/>
      <c r="AAR39" s="1"/>
      <c r="AAS39" s="1"/>
      <c r="AAT39" s="1"/>
      <c r="AAU39" s="1"/>
      <c r="AAV39" s="1"/>
      <c r="AAW39" s="1"/>
      <c r="AAX39" s="1"/>
      <c r="AAY39" s="1"/>
      <c r="AAZ39" s="1"/>
      <c r="ABA39" s="1"/>
      <c r="ABB39" s="1"/>
      <c r="ABC39" s="1"/>
      <c r="ABD39" s="1"/>
      <c r="ABE39" s="1"/>
      <c r="ABF39" s="1"/>
      <c r="ABG39" s="1"/>
      <c r="ABH39" s="1"/>
      <c r="ABI39" s="1"/>
      <c r="ABJ39" s="1"/>
      <c r="ABK39" s="1"/>
      <c r="ABL39" s="1"/>
      <c r="ABM39" s="1"/>
      <c r="ABN39" s="1"/>
      <c r="ABO39" s="1"/>
      <c r="ABP39" s="1"/>
      <c r="ABQ39" s="1"/>
      <c r="ABR39" s="1"/>
      <c r="ABS39" s="1"/>
      <c r="ABT39" s="1"/>
      <c r="ABU39" s="1"/>
      <c r="ABV39" s="1"/>
      <c r="ABW39" s="1"/>
      <c r="ABX39" s="1"/>
      <c r="ABY39" s="1"/>
      <c r="ABZ39" s="1"/>
      <c r="ACA39" s="1"/>
      <c r="ACB39" s="1"/>
      <c r="ACC39" s="1"/>
      <c r="ACD39" s="1"/>
      <c r="ACE39" s="1"/>
      <c r="ACF39" s="1"/>
      <c r="ACG39" s="1"/>
      <c r="ACH39" s="1"/>
      <c r="ACI39" s="1"/>
      <c r="ACJ39" s="1"/>
      <c r="ACK39" s="1"/>
      <c r="ACL39" s="1"/>
      <c r="ACM39" s="1"/>
      <c r="ACN39" s="1"/>
      <c r="ACO39" s="1"/>
      <c r="ACP39" s="1"/>
      <c r="ACQ39" s="1"/>
      <c r="ACR39" s="1"/>
      <c r="ACS39" s="1"/>
      <c r="ACT39" s="1"/>
      <c r="ACU39" s="1"/>
      <c r="ACV39" s="1"/>
      <c r="ACW39" s="1"/>
      <c r="ACX39" s="1"/>
      <c r="ACY39" s="1"/>
      <c r="ACZ39" s="1"/>
      <c r="ADA39" s="1"/>
      <c r="ADB39" s="1"/>
      <c r="ADC39" s="1"/>
      <c r="ADD39" s="1"/>
      <c r="ADE39" s="1"/>
      <c r="ADF39" s="1"/>
      <c r="ADG39" s="1"/>
      <c r="ADH39" s="1"/>
      <c r="ADI39" s="1"/>
      <c r="ADJ39" s="1"/>
      <c r="ADK39" s="1"/>
      <c r="ADL39" s="1"/>
      <c r="ADM39" s="1"/>
      <c r="ADN39" s="1"/>
      <c r="ADO39" s="1"/>
      <c r="ADP39" s="1"/>
      <c r="ADQ39" s="1"/>
      <c r="ADR39" s="1"/>
      <c r="ADS39" s="1"/>
      <c r="ADT39" s="1"/>
      <c r="ADU39" s="1"/>
      <c r="ADV39" s="1"/>
      <c r="ADW39" s="1"/>
      <c r="ADX39" s="1"/>
      <c r="ADY39" s="1"/>
      <c r="ADZ39" s="1"/>
      <c r="AEA39" s="1"/>
      <c r="AEB39" s="1"/>
      <c r="AEC39" s="1"/>
      <c r="AED39" s="1"/>
      <c r="AEE39" s="1"/>
      <c r="AEF39" s="1"/>
      <c r="AEG39" s="1"/>
      <c r="AEH39" s="1"/>
      <c r="AEI39" s="1"/>
      <c r="AEJ39" s="1"/>
      <c r="AEK39" s="1"/>
      <c r="AEL39" s="1"/>
      <c r="AEM39" s="1"/>
      <c r="AEN39" s="1"/>
      <c r="AEO39" s="1"/>
      <c r="AEP39" s="1"/>
      <c r="AEQ39" s="1"/>
      <c r="AER39" s="1"/>
      <c r="AES39" s="1"/>
      <c r="AET39" s="1"/>
      <c r="AEU39" s="1"/>
      <c r="AEV39" s="1"/>
      <c r="AEW39" s="1"/>
      <c r="AEX39" s="1"/>
      <c r="AEY39" s="1"/>
      <c r="AEZ39" s="1"/>
      <c r="AFA39" s="1"/>
      <c r="AFB39" s="1"/>
      <c r="AFC39" s="1"/>
      <c r="AFD39" s="1"/>
      <c r="AFE39" s="1"/>
      <c r="AFF39" s="1"/>
      <c r="AFG39" s="1"/>
      <c r="AFH39" s="1"/>
      <c r="AFI39" s="1"/>
      <c r="AFJ39" s="1"/>
      <c r="AFK39" s="1"/>
      <c r="AFL39" s="1"/>
      <c r="AFM39" s="1"/>
      <c r="AFN39" s="1"/>
      <c r="AFO39" s="1"/>
      <c r="AFP39" s="1"/>
      <c r="AFQ39" s="1"/>
      <c r="AFR39" s="1"/>
      <c r="AFS39" s="1"/>
      <c r="AFT39" s="1"/>
      <c r="AFU39" s="1"/>
      <c r="AFV39" s="1"/>
      <c r="AFW39" s="1"/>
      <c r="AFX39" s="1"/>
      <c r="AFY39" s="1"/>
      <c r="AFZ39" s="1"/>
      <c r="AGA39" s="1"/>
      <c r="AGB39" s="1"/>
      <c r="AGC39" s="1"/>
      <c r="AGD39" s="1"/>
      <c r="AGE39" s="1"/>
      <c r="AGF39" s="1"/>
      <c r="AGG39" s="1"/>
      <c r="AGH39" s="1"/>
      <c r="AGI39" s="1"/>
      <c r="AGJ39" s="1"/>
      <c r="AGK39" s="1"/>
      <c r="AGL39" s="1"/>
      <c r="AGM39" s="1"/>
      <c r="AGN39" s="1"/>
      <c r="AGO39" s="1"/>
      <c r="AGP39" s="1"/>
      <c r="AGQ39" s="1"/>
      <c r="AGR39" s="1"/>
      <c r="AGS39" s="1"/>
      <c r="AGT39" s="1"/>
      <c r="AGU39" s="1"/>
      <c r="AGV39" s="1"/>
      <c r="AGW39" s="1"/>
      <c r="AGX39" s="1"/>
      <c r="AGY39" s="1"/>
      <c r="AGZ39" s="1"/>
      <c r="AHA39" s="1"/>
      <c r="AHB39" s="1"/>
      <c r="AHC39" s="1"/>
      <c r="AHD39" s="1"/>
      <c r="AHE39" s="1"/>
      <c r="AHF39" s="1"/>
      <c r="AHG39" s="1"/>
      <c r="AHH39" s="1"/>
      <c r="AHI39" s="1"/>
      <c r="AHJ39" s="1"/>
      <c r="AHK39" s="1"/>
      <c r="AHL39" s="1"/>
      <c r="AHM39" s="1"/>
      <c r="AHN39" s="1"/>
      <c r="AHO39" s="1"/>
      <c r="AHP39" s="1"/>
      <c r="AHQ39" s="1"/>
      <c r="AHR39" s="1"/>
      <c r="AHS39" s="1"/>
      <c r="AHT39" s="1"/>
      <c r="AHU39" s="1"/>
      <c r="AHV39" s="1"/>
      <c r="AHW39" s="1"/>
      <c r="AHX39" s="1"/>
      <c r="AHY39" s="1"/>
      <c r="AHZ39" s="1"/>
      <c r="AIA39" s="1"/>
      <c r="AIB39" s="1"/>
      <c r="AIC39" s="1"/>
      <c r="AID39" s="1"/>
      <c r="AIE39" s="1"/>
      <c r="AIF39" s="1"/>
      <c r="AIG39" s="1"/>
      <c r="AIH39" s="1"/>
      <c r="AII39" s="1"/>
      <c r="AIJ39" s="1"/>
      <c r="AIK39" s="1"/>
      <c r="AIL39" s="1"/>
      <c r="AIM39" s="1"/>
      <c r="AIN39" s="1"/>
      <c r="AIO39" s="1"/>
      <c r="AIP39" s="1"/>
      <c r="AIQ39" s="1"/>
      <c r="AIR39" s="1"/>
      <c r="AIS39" s="1"/>
      <c r="AIT39" s="1"/>
      <c r="AIU39" s="1"/>
      <c r="AIV39" s="1"/>
      <c r="AIW39" s="1"/>
      <c r="AIX39" s="1"/>
      <c r="AIY39" s="1"/>
      <c r="AIZ39" s="1"/>
      <c r="AJA39" s="1"/>
      <c r="AJB39" s="1"/>
      <c r="AJC39" s="1"/>
      <c r="AJD39" s="1"/>
      <c r="AJE39" s="1"/>
      <c r="AJF39" s="1"/>
      <c r="AJG39" s="1"/>
      <c r="AJH39" s="1"/>
      <c r="AJI39" s="1"/>
      <c r="AJJ39" s="1"/>
      <c r="AJK39" s="1"/>
      <c r="AJL39" s="1"/>
      <c r="AJM39" s="1"/>
      <c r="AJN39" s="1"/>
      <c r="AJO39" s="1"/>
      <c r="AJP39" s="1"/>
      <c r="AJQ39" s="1"/>
      <c r="AJR39" s="1"/>
      <c r="AJS39" s="1"/>
      <c r="AJT39" s="1"/>
      <c r="AJU39" s="1"/>
      <c r="AJV39" s="1"/>
      <c r="AJW39" s="1"/>
      <c r="AJX39" s="1"/>
      <c r="AJY39" s="1"/>
      <c r="AJZ39" s="1"/>
      <c r="AKA39" s="1"/>
      <c r="AKB39" s="1"/>
      <c r="AKC39" s="1"/>
      <c r="AKD39" s="1"/>
      <c r="AKE39" s="1"/>
      <c r="AKF39" s="1"/>
      <c r="AKG39" s="1"/>
      <c r="AKH39" s="1"/>
      <c r="AKI39" s="1"/>
      <c r="AKJ39" s="1"/>
      <c r="AKK39" s="1"/>
      <c r="AKL39" s="1"/>
      <c r="AKM39" s="1"/>
      <c r="AKN39" s="1"/>
      <c r="AKO39" s="1"/>
      <c r="AKP39" s="1"/>
      <c r="AKQ39" s="1"/>
      <c r="AKR39" s="1"/>
      <c r="AKS39" s="1"/>
      <c r="AKT39" s="1"/>
      <c r="AKU39" s="1"/>
      <c r="AKV39" s="1"/>
      <c r="AKW39" s="1"/>
      <c r="AKX39" s="1"/>
      <c r="AKY39" s="1"/>
      <c r="AKZ39" s="1"/>
      <c r="ALA39" s="1"/>
      <c r="ALB39" s="1"/>
      <c r="ALC39" s="1"/>
      <c r="ALD39" s="1"/>
      <c r="ALE39" s="1"/>
      <c r="ALF39" s="1"/>
      <c r="ALG39" s="1"/>
      <c r="ALH39" s="1"/>
      <c r="ALI39" s="1"/>
      <c r="ALJ39" s="1"/>
      <c r="ALK39" s="1"/>
      <c r="ALL39" s="1"/>
      <c r="ALM39" s="1"/>
      <c r="ALN39" s="1"/>
      <c r="ALO39" s="1"/>
      <c r="ALP39" s="1"/>
      <c r="ALQ39" s="1"/>
      <c r="ALR39" s="1"/>
      <c r="ALS39" s="1"/>
      <c r="ALT39" s="1"/>
      <c r="ALU39" s="1"/>
      <c r="ALV39" s="1"/>
      <c r="ALW39" s="1"/>
      <c r="ALX39" s="1"/>
      <c r="ALY39" s="1"/>
      <c r="ALZ39" s="1"/>
      <c r="AMA39" s="1"/>
      <c r="AMB39" s="1"/>
      <c r="AMC39" s="1"/>
      <c r="AMD39" s="1"/>
      <c r="AME39" s="1"/>
      <c r="AMF39" s="1"/>
      <c r="AMG39" s="1"/>
      <c r="AMH39" s="1"/>
      <c r="AMI39" s="1"/>
      <c r="AMJ39" s="1"/>
      <c r="AMK39" s="1"/>
      <c r="AML39" s="1"/>
      <c r="AMM39" s="1"/>
    </row>
    <row r="40" spans="1:1027" x14ac:dyDescent="0.25">
      <c r="A40" s="19" t="s">
        <v>822</v>
      </c>
      <c r="B40" s="3">
        <v>80</v>
      </c>
      <c r="C40" s="81" t="str">
        <f t="shared" si="0"/>
        <v>A</v>
      </c>
      <c r="D40" s="3" t="s">
        <v>138</v>
      </c>
      <c r="F40" s="3"/>
      <c r="G40" s="3"/>
      <c r="H40" s="3"/>
      <c r="I40" s="3" t="s">
        <v>88</v>
      </c>
      <c r="L40" s="3"/>
      <c r="M40" s="3"/>
      <c r="N40" s="3"/>
      <c r="O40" s="3"/>
      <c r="P40" s="3"/>
      <c r="Q40" s="3"/>
      <c r="R40" s="3"/>
      <c r="S40" s="3"/>
      <c r="T40" s="3"/>
    </row>
    <row r="41" spans="1:1027" x14ac:dyDescent="0.25">
      <c r="A41" s="19" t="s">
        <v>823</v>
      </c>
      <c r="B41" s="3">
        <v>80</v>
      </c>
      <c r="C41" s="81" t="str">
        <f t="shared" si="0"/>
        <v>B</v>
      </c>
      <c r="D41" s="3" t="s">
        <v>138</v>
      </c>
      <c r="E41" s="3"/>
      <c r="F41" s="3"/>
      <c r="G41" s="3"/>
      <c r="H41" s="3"/>
      <c r="I41" s="3" t="s">
        <v>101</v>
      </c>
      <c r="J41" s="3"/>
      <c r="L41" s="3"/>
      <c r="M41" s="3"/>
      <c r="N41" s="3"/>
      <c r="O41" s="3"/>
      <c r="P41" s="3"/>
      <c r="Q41" s="3"/>
      <c r="R41" s="3"/>
      <c r="S41" s="3"/>
      <c r="T41" s="3"/>
    </row>
    <row r="42" spans="1:1027" x14ac:dyDescent="0.25">
      <c r="A42" s="19" t="s">
        <v>824</v>
      </c>
      <c r="B42" s="3">
        <v>80</v>
      </c>
      <c r="C42" s="81" t="str">
        <f t="shared" si="0"/>
        <v>C</v>
      </c>
      <c r="D42" s="3" t="s">
        <v>138</v>
      </c>
      <c r="E42" s="3"/>
      <c r="F42" s="3"/>
      <c r="G42" s="3"/>
      <c r="H42" s="3"/>
      <c r="I42" s="3" t="s">
        <v>101</v>
      </c>
      <c r="J42" s="3"/>
      <c r="L42" s="3"/>
      <c r="M42" s="3"/>
      <c r="N42" s="3"/>
      <c r="O42" s="3"/>
      <c r="P42" s="3"/>
      <c r="Q42" s="3"/>
      <c r="R42" s="3"/>
      <c r="S42" s="3"/>
      <c r="T42" s="3"/>
    </row>
    <row r="43" spans="1:1027" x14ac:dyDescent="0.25">
      <c r="A43" s="19" t="s">
        <v>825</v>
      </c>
      <c r="B43" s="3">
        <v>80</v>
      </c>
      <c r="C43" s="81" t="str">
        <f t="shared" si="0"/>
        <v>D</v>
      </c>
      <c r="D43" s="3" t="s">
        <v>132</v>
      </c>
      <c r="E43" s="3"/>
      <c r="F43" s="3"/>
      <c r="G43" s="3"/>
      <c r="H43" s="3"/>
      <c r="I43" s="3" t="s">
        <v>94</v>
      </c>
      <c r="J43" s="3"/>
      <c r="L43" s="3"/>
      <c r="M43" s="3"/>
      <c r="N43" s="3"/>
      <c r="O43" s="3"/>
      <c r="P43" s="3"/>
      <c r="Q43" s="3"/>
      <c r="R43" s="3"/>
      <c r="S43" s="3"/>
      <c r="T43" s="3"/>
    </row>
    <row r="44" spans="1:1027" x14ac:dyDescent="0.25">
      <c r="A44" s="41" t="s">
        <v>826</v>
      </c>
      <c r="B44" s="3">
        <v>80</v>
      </c>
      <c r="C44" s="81" t="str">
        <f t="shared" si="0"/>
        <v>E</v>
      </c>
      <c r="D44" s="3" t="s">
        <v>132</v>
      </c>
      <c r="E44" s="3"/>
      <c r="F44" s="3"/>
      <c r="G44" s="3"/>
      <c r="H44" s="3"/>
      <c r="I44" s="3" t="s">
        <v>101</v>
      </c>
      <c r="J44" s="3"/>
      <c r="L44" s="3"/>
      <c r="M44" s="3"/>
      <c r="N44" s="3"/>
      <c r="O44" s="3"/>
      <c r="P44" s="3"/>
      <c r="Q44" s="3"/>
      <c r="R44" s="3"/>
      <c r="S44" s="3"/>
      <c r="T44" s="3"/>
    </row>
    <row r="45" spans="1:1027" x14ac:dyDescent="0.25">
      <c r="A45" s="41" t="s">
        <v>827</v>
      </c>
      <c r="B45" s="3">
        <v>80</v>
      </c>
      <c r="C45" s="81" t="str">
        <f t="shared" si="0"/>
        <v>F</v>
      </c>
      <c r="D45" s="3" t="s">
        <v>132</v>
      </c>
      <c r="E45" s="3"/>
      <c r="F45" s="3"/>
      <c r="G45" s="3"/>
      <c r="H45" s="3"/>
      <c r="I45" s="3" t="s">
        <v>101</v>
      </c>
      <c r="J45" s="3"/>
      <c r="L45" s="3"/>
      <c r="M45" s="3"/>
      <c r="N45" s="3"/>
      <c r="O45" s="3"/>
      <c r="P45" s="3"/>
      <c r="Q45" s="3"/>
      <c r="R45" s="3"/>
      <c r="S45" s="3"/>
      <c r="T45" s="3"/>
    </row>
    <row r="46" spans="1:1027" x14ac:dyDescent="0.25">
      <c r="A46" s="41" t="s">
        <v>828</v>
      </c>
      <c r="B46" s="3">
        <v>80</v>
      </c>
      <c r="C46" s="81" t="str">
        <f t="shared" si="0"/>
        <v>10</v>
      </c>
      <c r="D46" s="3" t="s">
        <v>132</v>
      </c>
      <c r="E46" s="3"/>
      <c r="F46" s="3"/>
      <c r="G46" s="3"/>
      <c r="H46" s="3"/>
      <c r="I46" s="3" t="s">
        <v>94</v>
      </c>
      <c r="J46" s="3"/>
      <c r="L46" s="3"/>
      <c r="M46" s="3"/>
      <c r="N46" s="3"/>
      <c r="O46" s="3"/>
      <c r="P46" s="3"/>
      <c r="Q46" s="3"/>
      <c r="R46" s="3"/>
      <c r="S46" s="3"/>
      <c r="T46" s="3"/>
    </row>
    <row r="47" spans="1:1027" x14ac:dyDescent="0.25">
      <c r="A47" s="41" t="s">
        <v>829</v>
      </c>
      <c r="B47" s="3">
        <v>80</v>
      </c>
      <c r="C47" s="81" t="str">
        <f t="shared" si="0"/>
        <v>11</v>
      </c>
      <c r="D47" s="3" t="s">
        <v>132</v>
      </c>
      <c r="E47" s="3"/>
      <c r="F47" s="3"/>
      <c r="G47" s="3"/>
      <c r="H47" s="3"/>
      <c r="I47" s="3" t="s">
        <v>94</v>
      </c>
      <c r="J47" s="3"/>
      <c r="L47" s="3"/>
      <c r="M47" s="3"/>
      <c r="N47" s="3"/>
      <c r="O47" s="3"/>
      <c r="P47" s="3"/>
      <c r="Q47" s="3"/>
      <c r="R47" s="3"/>
      <c r="S47" s="3"/>
      <c r="T47" s="3"/>
    </row>
    <row r="48" spans="1:1027" x14ac:dyDescent="0.25">
      <c r="A48" s="41" t="s">
        <v>830</v>
      </c>
      <c r="B48" s="3">
        <v>80</v>
      </c>
      <c r="C48" s="81" t="str">
        <f t="shared" si="0"/>
        <v>12</v>
      </c>
      <c r="D48" s="3" t="s">
        <v>132</v>
      </c>
      <c r="E48" s="3"/>
      <c r="F48" s="3"/>
      <c r="G48" s="3"/>
      <c r="H48" s="3"/>
      <c r="I48" s="3" t="s">
        <v>94</v>
      </c>
      <c r="J48" s="3"/>
      <c r="L48" s="3"/>
      <c r="M48" s="3"/>
      <c r="N48" s="3"/>
      <c r="O48" s="3"/>
      <c r="P48" s="3"/>
      <c r="Q48" s="3"/>
      <c r="R48" s="3"/>
      <c r="S48" s="3"/>
      <c r="T48" s="3"/>
    </row>
    <row r="49" spans="1:20" x14ac:dyDescent="0.25">
      <c r="A49" s="41" t="s">
        <v>831</v>
      </c>
      <c r="B49" s="3">
        <v>80</v>
      </c>
      <c r="C49" s="81" t="str">
        <f t="shared" si="0"/>
        <v>13</v>
      </c>
      <c r="D49" s="3" t="s">
        <v>132</v>
      </c>
      <c r="E49" s="3"/>
      <c r="F49" s="3"/>
      <c r="G49" s="3"/>
      <c r="H49" s="3"/>
      <c r="I49" s="3" t="s">
        <v>94</v>
      </c>
      <c r="J49" s="3"/>
      <c r="L49" s="3"/>
      <c r="M49" s="3"/>
      <c r="N49" s="3"/>
      <c r="O49" s="3"/>
      <c r="P49" s="3"/>
      <c r="Q49" s="3"/>
      <c r="R49" s="3"/>
      <c r="S49" s="3"/>
      <c r="T49" s="3"/>
    </row>
    <row r="50" spans="1:20" x14ac:dyDescent="0.25">
      <c r="A50" s="41" t="s">
        <v>832</v>
      </c>
      <c r="B50" s="3">
        <v>80</v>
      </c>
      <c r="C50" s="81" t="str">
        <f t="shared" si="0"/>
        <v>14</v>
      </c>
      <c r="D50" s="3" t="s">
        <v>833</v>
      </c>
      <c r="E50" s="3"/>
      <c r="F50" s="3"/>
      <c r="G50" s="3"/>
      <c r="H50" s="3"/>
      <c r="I50" s="3" t="s">
        <v>101</v>
      </c>
      <c r="J50" s="3"/>
      <c r="L50" s="3"/>
      <c r="M50" s="3"/>
      <c r="N50" s="3"/>
      <c r="O50" s="3"/>
      <c r="P50" s="3"/>
      <c r="Q50" s="3"/>
      <c r="R50" s="3"/>
      <c r="S50" s="3"/>
      <c r="T50" s="3"/>
    </row>
    <row r="51" spans="1:20" x14ac:dyDescent="0.25">
      <c r="A51" s="41" t="s">
        <v>834</v>
      </c>
      <c r="B51" s="3">
        <v>80</v>
      </c>
      <c r="C51" s="81" t="str">
        <f t="shared" si="0"/>
        <v>15</v>
      </c>
      <c r="D51" s="3" t="s">
        <v>835</v>
      </c>
      <c r="E51" s="3"/>
      <c r="F51" s="3"/>
      <c r="G51" s="3"/>
      <c r="H51" s="3"/>
      <c r="I51" s="3" t="s">
        <v>101</v>
      </c>
      <c r="J51" s="3"/>
      <c r="L51" s="3"/>
      <c r="M51" s="3"/>
      <c r="N51" s="3"/>
      <c r="O51" s="3"/>
      <c r="P51" s="3"/>
      <c r="Q51" s="3"/>
      <c r="R51" s="3"/>
      <c r="S51" s="3"/>
      <c r="T51" s="3"/>
    </row>
    <row r="52" spans="1:20" x14ac:dyDescent="0.25">
      <c r="A52" s="41" t="s">
        <v>836</v>
      </c>
      <c r="B52" s="3">
        <v>80</v>
      </c>
      <c r="C52" s="81" t="str">
        <f t="shared" si="0"/>
        <v>16</v>
      </c>
      <c r="D52" s="3" t="s">
        <v>241</v>
      </c>
      <c r="E52" s="3"/>
      <c r="F52" s="3"/>
      <c r="G52" s="3"/>
      <c r="H52" s="3"/>
      <c r="I52" s="3" t="s">
        <v>94</v>
      </c>
      <c r="J52" s="3"/>
      <c r="L52" s="3"/>
      <c r="M52" s="3"/>
      <c r="N52" s="3"/>
      <c r="O52" s="3"/>
      <c r="P52" s="3"/>
      <c r="Q52" s="3"/>
      <c r="R52" s="3"/>
      <c r="S52" s="3"/>
      <c r="T52" s="3"/>
    </row>
    <row r="53" spans="1:20" x14ac:dyDescent="0.25">
      <c r="A53" s="41" t="s">
        <v>837</v>
      </c>
      <c r="B53" s="3">
        <v>80</v>
      </c>
      <c r="C53" s="81" t="str">
        <f t="shared" si="0"/>
        <v>17</v>
      </c>
      <c r="D53" s="3" t="s">
        <v>241</v>
      </c>
      <c r="E53" s="3"/>
      <c r="F53" s="3"/>
      <c r="G53" s="3"/>
      <c r="H53" s="3"/>
      <c r="I53" s="3" t="s">
        <v>94</v>
      </c>
      <c r="J53" s="3"/>
      <c r="L53" s="3"/>
      <c r="M53" s="3"/>
      <c r="N53" s="3"/>
      <c r="O53" s="3"/>
      <c r="P53" s="3"/>
      <c r="Q53" s="3"/>
      <c r="R53" s="3"/>
      <c r="S53" s="3"/>
      <c r="T53" s="3"/>
    </row>
    <row r="54" spans="1:20" x14ac:dyDescent="0.25">
      <c r="A54" s="86" t="s">
        <v>838</v>
      </c>
      <c r="B54" s="3">
        <v>80</v>
      </c>
      <c r="C54" s="81" t="str">
        <f t="shared" si="0"/>
        <v>18</v>
      </c>
      <c r="D54" s="3" t="s">
        <v>241</v>
      </c>
      <c r="E54" s="3"/>
      <c r="F54" s="3"/>
      <c r="G54" s="3"/>
      <c r="H54" s="3"/>
      <c r="I54" s="3" t="s">
        <v>94</v>
      </c>
      <c r="J54" s="3"/>
      <c r="L54" s="3"/>
      <c r="M54" s="3"/>
      <c r="N54" s="3"/>
      <c r="O54" s="3"/>
      <c r="P54" s="3"/>
      <c r="Q54" s="3"/>
      <c r="R54" s="3"/>
      <c r="S54" s="3"/>
      <c r="T54" s="3"/>
    </row>
    <row r="55" spans="1:20" x14ac:dyDescent="0.25">
      <c r="A55" s="86" t="s">
        <v>839</v>
      </c>
      <c r="B55" s="3">
        <v>80</v>
      </c>
      <c r="C55" s="81" t="str">
        <f t="shared" si="0"/>
        <v>19</v>
      </c>
      <c r="D55" s="3" t="s">
        <v>241</v>
      </c>
      <c r="E55" s="3"/>
      <c r="F55" s="3"/>
      <c r="G55" s="3"/>
      <c r="H55" s="3"/>
      <c r="I55" s="3" t="s">
        <v>94</v>
      </c>
      <c r="J55" s="3"/>
      <c r="L55" s="3"/>
      <c r="M55" s="3"/>
      <c r="N55" s="3"/>
      <c r="O55" s="3"/>
      <c r="P55" s="3"/>
      <c r="Q55" s="3"/>
      <c r="R55" s="3"/>
      <c r="S55" s="3"/>
      <c r="T55" s="3"/>
    </row>
    <row r="56" spans="1:20" x14ac:dyDescent="0.25">
      <c r="A56" s="41" t="s">
        <v>840</v>
      </c>
      <c r="B56" s="3">
        <v>80</v>
      </c>
      <c r="C56" s="81" t="str">
        <f t="shared" si="0"/>
        <v>1A</v>
      </c>
      <c r="D56" s="3" t="s">
        <v>241</v>
      </c>
      <c r="E56" s="3"/>
      <c r="F56" s="3"/>
      <c r="G56" s="3"/>
      <c r="H56" s="3"/>
      <c r="I56" s="3" t="s">
        <v>94</v>
      </c>
      <c r="J56" s="3"/>
      <c r="L56" s="3"/>
      <c r="M56" s="3"/>
      <c r="N56" s="3"/>
      <c r="O56" s="3"/>
      <c r="P56" s="3"/>
      <c r="Q56" s="3"/>
      <c r="R56" s="3"/>
      <c r="S56" s="3"/>
      <c r="T56" s="3"/>
    </row>
    <row r="57" spans="1:20" x14ac:dyDescent="0.25">
      <c r="A57" s="41" t="s">
        <v>841</v>
      </c>
      <c r="B57" s="3">
        <v>80</v>
      </c>
      <c r="C57" s="81" t="s">
        <v>498</v>
      </c>
      <c r="D57" s="3" t="s">
        <v>138</v>
      </c>
      <c r="E57" s="3"/>
      <c r="F57" s="3"/>
      <c r="G57" s="3"/>
      <c r="H57" s="3"/>
      <c r="I57" s="3" t="s">
        <v>842</v>
      </c>
      <c r="J57" s="3"/>
      <c r="L57" s="3"/>
      <c r="M57" s="3"/>
      <c r="N57" s="3"/>
      <c r="O57" s="3"/>
      <c r="P57" s="3"/>
      <c r="Q57" s="3"/>
      <c r="R57" s="3"/>
      <c r="S57" s="3"/>
      <c r="T57" s="3"/>
    </row>
    <row r="58" spans="1:20" x14ac:dyDescent="0.25">
      <c r="B58" s="3"/>
      <c r="C58" s="81"/>
      <c r="D58" s="3"/>
      <c r="E58" s="3"/>
      <c r="F58" s="3"/>
      <c r="G58" s="3"/>
      <c r="H58" s="3"/>
      <c r="I58" s="3"/>
      <c r="J58" s="3"/>
      <c r="L58" s="3"/>
      <c r="M58" s="3"/>
      <c r="N58" s="3"/>
      <c r="O58" s="3"/>
      <c r="P58" s="3"/>
      <c r="Q58" s="3"/>
      <c r="R58" s="3"/>
      <c r="S58" s="3"/>
      <c r="T58" s="3"/>
    </row>
    <row r="59" spans="1:20" x14ac:dyDescent="0.25">
      <c r="B59" s="3"/>
      <c r="C59" s="81"/>
      <c r="D59" s="3"/>
      <c r="E59" s="3"/>
      <c r="F59" s="3"/>
      <c r="G59" s="3"/>
      <c r="H59" s="3"/>
      <c r="I59" s="3"/>
      <c r="J59" s="3"/>
      <c r="L59" s="3"/>
      <c r="M59" s="3"/>
      <c r="N59" s="3"/>
      <c r="O59" s="3"/>
      <c r="P59" s="3"/>
      <c r="Q59" s="3"/>
      <c r="R59" s="3"/>
      <c r="S59" s="3"/>
      <c r="T59" s="3"/>
    </row>
    <row r="60" spans="1:20" x14ac:dyDescent="0.25">
      <c r="B60" s="3"/>
      <c r="C60" s="81"/>
      <c r="D60" s="3"/>
      <c r="E60" s="3"/>
      <c r="F60" s="3"/>
      <c r="G60" s="3"/>
      <c r="H60" s="3"/>
      <c r="I60" s="3"/>
      <c r="J60" s="3"/>
      <c r="L60" s="3"/>
      <c r="M60" s="3"/>
      <c r="N60" s="3"/>
      <c r="O60" s="3"/>
      <c r="P60" s="3"/>
      <c r="Q60" s="3"/>
      <c r="R60" s="3"/>
      <c r="S60" s="3"/>
      <c r="T60" s="3"/>
    </row>
    <row r="61" spans="1:20" x14ac:dyDescent="0.25">
      <c r="B61" s="3"/>
      <c r="C61" s="81"/>
      <c r="D61" s="3"/>
      <c r="E61" s="3"/>
      <c r="F61" s="3"/>
      <c r="G61" s="3"/>
      <c r="H61" s="3"/>
      <c r="I61" s="3"/>
      <c r="J61" s="3"/>
      <c r="L61" s="3"/>
      <c r="M61" s="3"/>
      <c r="N61" s="3"/>
      <c r="O61" s="3"/>
      <c r="P61" s="3"/>
      <c r="Q61" s="3"/>
      <c r="R61" s="3"/>
      <c r="S61" s="3"/>
      <c r="T61" s="3"/>
    </row>
    <row r="62" spans="1:20" x14ac:dyDescent="0.25">
      <c r="B62" s="3"/>
      <c r="C62" s="81"/>
      <c r="D62" s="3"/>
      <c r="E62" s="3"/>
      <c r="F62" s="3"/>
      <c r="G62" s="3"/>
      <c r="H62" s="3"/>
      <c r="I62" s="3"/>
      <c r="J62" s="3"/>
      <c r="L62" s="3"/>
      <c r="M62" s="3"/>
      <c r="N62" s="3"/>
      <c r="O62" s="3"/>
      <c r="P62" s="3"/>
      <c r="Q62" s="3"/>
      <c r="R62" s="3"/>
      <c r="S62" s="3"/>
      <c r="T62" s="3"/>
    </row>
    <row r="63" spans="1:20" x14ac:dyDescent="0.25">
      <c r="B63" s="3"/>
      <c r="C63" s="81"/>
      <c r="D63" s="3"/>
      <c r="E63" s="3"/>
      <c r="F63" s="3"/>
      <c r="G63" s="3"/>
      <c r="H63" s="3"/>
      <c r="I63" s="3"/>
      <c r="J63" s="3"/>
      <c r="L63" s="3"/>
      <c r="M63" s="3"/>
      <c r="N63" s="3"/>
      <c r="O63" s="3"/>
      <c r="P63" s="3"/>
      <c r="Q63" s="3"/>
      <c r="R63" s="3"/>
      <c r="S63" s="3"/>
      <c r="T63" s="3"/>
    </row>
    <row r="64" spans="1:20" x14ac:dyDescent="0.25">
      <c r="B64" s="3"/>
      <c r="C64" s="81"/>
      <c r="D64" s="3"/>
      <c r="E64" s="3"/>
      <c r="F64" s="3"/>
      <c r="G64" s="3"/>
      <c r="H64" s="3"/>
      <c r="I64" s="3"/>
      <c r="J64" s="3"/>
      <c r="L64" s="3"/>
      <c r="M64" s="3"/>
      <c r="N64" s="3"/>
      <c r="O64" s="3"/>
      <c r="P64" s="3"/>
      <c r="Q64" s="3"/>
      <c r="R64" s="3"/>
      <c r="S64" s="3"/>
      <c r="T64" s="3"/>
    </row>
    <row r="65" spans="2:20" x14ac:dyDescent="0.25">
      <c r="B65" s="3"/>
      <c r="C65" s="81"/>
      <c r="D65" s="3"/>
      <c r="E65" s="3"/>
      <c r="F65" s="3"/>
      <c r="G65" s="3"/>
      <c r="H65" s="3"/>
      <c r="I65" s="3"/>
      <c r="J65" s="3"/>
      <c r="L65" s="3"/>
      <c r="M65" s="3"/>
      <c r="N65" s="3"/>
      <c r="O65" s="3"/>
      <c r="P65" s="3"/>
      <c r="Q65" s="3"/>
      <c r="R65" s="3"/>
      <c r="S65" s="3"/>
      <c r="T65" s="3"/>
    </row>
    <row r="66" spans="2:20" x14ac:dyDescent="0.25">
      <c r="B66" s="3"/>
      <c r="C66" s="81"/>
      <c r="D66" s="3"/>
      <c r="E66" s="3"/>
      <c r="F66" s="3"/>
      <c r="G66" s="3"/>
      <c r="H66" s="3"/>
      <c r="I66" s="3"/>
      <c r="J66" s="3"/>
      <c r="L66" s="3"/>
      <c r="M66" s="3"/>
      <c r="N66" s="3"/>
      <c r="O66" s="3"/>
      <c r="P66" s="3"/>
      <c r="Q66" s="3"/>
      <c r="R66" s="3"/>
      <c r="S66" s="3"/>
      <c r="T66" s="3"/>
    </row>
    <row r="67" spans="2:20" x14ac:dyDescent="0.25">
      <c r="B67" s="3"/>
      <c r="C67" s="81"/>
      <c r="D67" s="3"/>
      <c r="E67" s="3"/>
      <c r="F67" s="3"/>
      <c r="G67" s="3"/>
      <c r="H67" s="3"/>
      <c r="I67" s="3"/>
      <c r="J67" s="3"/>
      <c r="L67" s="3"/>
      <c r="M67" s="3"/>
      <c r="N67" s="3"/>
      <c r="O67" s="3"/>
      <c r="P67" s="3"/>
      <c r="Q67" s="3"/>
      <c r="R67" s="3"/>
      <c r="S67" s="3"/>
      <c r="T67" s="3"/>
    </row>
    <row r="68" spans="2:20" x14ac:dyDescent="0.25">
      <c r="B68" s="3"/>
      <c r="C68" s="81"/>
      <c r="D68" s="3"/>
      <c r="E68" s="3"/>
      <c r="F68" s="3"/>
      <c r="G68" s="3"/>
      <c r="H68" s="3"/>
      <c r="I68" s="3"/>
      <c r="J68" s="3"/>
      <c r="L68" s="3"/>
      <c r="M68" s="3"/>
      <c r="N68" s="3"/>
      <c r="O68" s="3"/>
      <c r="P68" s="3"/>
      <c r="Q68" s="3"/>
      <c r="R68" s="3"/>
      <c r="S68" s="3"/>
      <c r="T68" s="3"/>
    </row>
    <row r="69" spans="2:20" x14ac:dyDescent="0.25">
      <c r="B69" s="3"/>
      <c r="C69" s="81"/>
      <c r="D69" s="3"/>
      <c r="E69" s="3"/>
      <c r="F69" s="3"/>
      <c r="G69" s="3"/>
      <c r="H69" s="3"/>
      <c r="I69" s="3"/>
      <c r="J69" s="3"/>
      <c r="L69" s="3"/>
      <c r="M69" s="3"/>
      <c r="N69" s="3"/>
      <c r="O69" s="3"/>
      <c r="P69" s="3"/>
      <c r="Q69" s="3"/>
      <c r="R69" s="3"/>
      <c r="S69" s="3"/>
      <c r="T69" s="3"/>
    </row>
    <row r="70" spans="2:20" x14ac:dyDescent="0.25">
      <c r="B70" s="3"/>
      <c r="C70" s="81"/>
      <c r="D70" s="3"/>
      <c r="E70" s="3"/>
      <c r="F70" s="3"/>
      <c r="G70" s="3"/>
      <c r="H70" s="3"/>
      <c r="I70" s="3"/>
      <c r="J70" s="3"/>
      <c r="L70" s="3"/>
      <c r="M70" s="3"/>
      <c r="N70" s="3"/>
      <c r="O70" s="3"/>
      <c r="P70" s="3"/>
      <c r="Q70" s="3"/>
      <c r="R70" s="3"/>
      <c r="S70" s="3"/>
      <c r="T70" s="3"/>
    </row>
    <row r="71" spans="2:20" x14ac:dyDescent="0.25">
      <c r="B71" s="3"/>
      <c r="C71" s="81"/>
      <c r="D71" s="3"/>
      <c r="E71" s="3"/>
      <c r="F71" s="3"/>
      <c r="G71" s="3"/>
      <c r="H71" s="3"/>
      <c r="I71" s="3"/>
      <c r="J71" s="3"/>
      <c r="L71" s="3"/>
      <c r="M71" s="3"/>
      <c r="N71" s="3"/>
      <c r="O71" s="3"/>
      <c r="P71" s="3"/>
      <c r="Q71" s="3"/>
      <c r="R71" s="3"/>
      <c r="S71" s="3"/>
      <c r="T71" s="3"/>
    </row>
    <row r="72" spans="2:20" x14ac:dyDescent="0.25">
      <c r="B72" s="3"/>
      <c r="C72" s="81"/>
      <c r="D72" s="3"/>
      <c r="E72" s="3"/>
      <c r="F72" s="3"/>
      <c r="G72" s="3"/>
      <c r="H72" s="3"/>
      <c r="I72" s="3"/>
      <c r="J72" s="3"/>
      <c r="L72" s="3"/>
      <c r="M72" s="3"/>
      <c r="N72" s="3"/>
      <c r="O72" s="3"/>
      <c r="P72" s="3"/>
      <c r="Q72" s="3"/>
      <c r="R72" s="3"/>
      <c r="S72" s="3"/>
      <c r="T72" s="3"/>
    </row>
    <row r="73" spans="2:20" x14ac:dyDescent="0.25">
      <c r="B73" s="3"/>
      <c r="C73" s="81"/>
      <c r="D73" s="3"/>
      <c r="E73" s="3"/>
      <c r="F73" s="3"/>
      <c r="G73" s="3"/>
      <c r="H73" s="3"/>
      <c r="I73" s="3"/>
      <c r="J73" s="3"/>
      <c r="L73" s="3"/>
      <c r="M73" s="3"/>
      <c r="N73" s="3"/>
      <c r="O73" s="3"/>
      <c r="P73" s="3"/>
      <c r="Q73" s="3"/>
      <c r="R73" s="3"/>
      <c r="S73" s="3"/>
      <c r="T73" s="3"/>
    </row>
    <row r="74" spans="2:20" x14ac:dyDescent="0.25">
      <c r="B74" s="3"/>
      <c r="C74" s="81"/>
      <c r="D74" s="3"/>
      <c r="E74" s="3"/>
      <c r="F74" s="3"/>
      <c r="G74" s="3"/>
      <c r="H74" s="3"/>
      <c r="I74" s="3"/>
      <c r="J74" s="3"/>
      <c r="L74" s="3"/>
      <c r="M74" s="3"/>
      <c r="N74" s="3"/>
      <c r="O74" s="3"/>
      <c r="P74" s="3"/>
      <c r="Q74" s="3"/>
      <c r="R74" s="3"/>
      <c r="S74" s="3"/>
      <c r="T74" s="3"/>
    </row>
    <row r="75" spans="2:20" x14ac:dyDescent="0.25">
      <c r="B75" s="3"/>
      <c r="C75" s="81"/>
      <c r="D75" s="3"/>
      <c r="E75" s="3"/>
      <c r="F75" s="3"/>
      <c r="G75" s="3"/>
      <c r="H75" s="3"/>
      <c r="I75" s="3"/>
      <c r="J75" s="3"/>
      <c r="L75" s="3"/>
      <c r="M75" s="3"/>
      <c r="N75" s="3"/>
      <c r="O75" s="3"/>
      <c r="P75" s="3"/>
      <c r="Q75" s="3"/>
      <c r="R75" s="3"/>
      <c r="S75" s="3"/>
      <c r="T75" s="3"/>
    </row>
    <row r="76" spans="2:20" x14ac:dyDescent="0.25">
      <c r="B76" s="3"/>
      <c r="C76" s="81"/>
      <c r="D76" s="3"/>
      <c r="E76" s="3"/>
      <c r="F76" s="3"/>
      <c r="G76" s="3"/>
      <c r="H76" s="3"/>
      <c r="I76" s="3"/>
      <c r="J76" s="3"/>
      <c r="L76" s="3"/>
      <c r="M76" s="3"/>
      <c r="N76" s="3"/>
      <c r="O76" s="3"/>
      <c r="P76" s="3"/>
      <c r="Q76" s="3"/>
      <c r="R76" s="3"/>
      <c r="S76" s="3"/>
      <c r="T76" s="3"/>
    </row>
    <row r="77" spans="2:20" x14ac:dyDescent="0.25">
      <c r="B77" s="3"/>
      <c r="C77" s="81"/>
      <c r="D77" s="3"/>
      <c r="E77" s="3"/>
      <c r="F77" s="3"/>
      <c r="G77" s="3"/>
      <c r="H77" s="3"/>
      <c r="I77" s="3"/>
      <c r="J77" s="3"/>
      <c r="L77" s="3"/>
      <c r="M77" s="3"/>
      <c r="N77" s="3"/>
      <c r="O77" s="3"/>
      <c r="P77" s="3"/>
      <c r="Q77" s="3"/>
      <c r="R77" s="3"/>
      <c r="S77" s="3"/>
      <c r="T77" s="3"/>
    </row>
    <row r="78" spans="2:20" x14ac:dyDescent="0.25">
      <c r="B78" s="3"/>
      <c r="C78" s="81"/>
      <c r="D78" s="3"/>
      <c r="E78" s="3"/>
      <c r="F78" s="3"/>
      <c r="G78" s="3"/>
      <c r="H78" s="3"/>
      <c r="I78" s="3"/>
      <c r="J78" s="3"/>
      <c r="L78" s="3"/>
      <c r="M78" s="3"/>
      <c r="N78" s="3"/>
      <c r="O78" s="3"/>
      <c r="P78" s="3"/>
      <c r="Q78" s="3"/>
      <c r="R78" s="3"/>
      <c r="S78" s="3"/>
      <c r="T78" s="3"/>
    </row>
    <row r="79" spans="2:20" x14ac:dyDescent="0.25">
      <c r="B79" s="3"/>
      <c r="C79" s="81"/>
      <c r="D79" s="3"/>
      <c r="E79" s="3"/>
      <c r="F79" s="3"/>
      <c r="G79" s="3"/>
      <c r="H79" s="3"/>
      <c r="I79" s="3"/>
      <c r="J79" s="3"/>
      <c r="L79" s="3"/>
      <c r="M79" s="3"/>
      <c r="N79" s="3"/>
      <c r="O79" s="3"/>
      <c r="P79" s="3"/>
      <c r="Q79" s="3"/>
      <c r="R79" s="3"/>
      <c r="S79" s="3"/>
      <c r="T79" s="3"/>
    </row>
    <row r="80" spans="2:20" x14ac:dyDescent="0.25">
      <c r="B80" s="3"/>
      <c r="C80" s="81"/>
      <c r="D80" s="3"/>
      <c r="E80" s="3"/>
      <c r="F80" s="3"/>
      <c r="G80" s="3"/>
      <c r="H80" s="3"/>
      <c r="I80" s="3"/>
      <c r="J80" s="3"/>
      <c r="L80" s="3"/>
      <c r="M80" s="3"/>
      <c r="N80" s="3"/>
      <c r="O80" s="3"/>
      <c r="P80" s="3"/>
      <c r="Q80" s="3"/>
      <c r="R80" s="3"/>
      <c r="S80" s="3"/>
      <c r="T80" s="3"/>
    </row>
    <row r="81" spans="2:20" x14ac:dyDescent="0.25">
      <c r="B81" s="3"/>
      <c r="C81" s="81"/>
      <c r="D81" s="3"/>
      <c r="E81" s="3"/>
      <c r="F81" s="3"/>
      <c r="G81" s="3"/>
      <c r="H81" s="3"/>
      <c r="I81" s="3"/>
      <c r="J81" s="3"/>
      <c r="L81" s="3"/>
      <c r="M81" s="3"/>
      <c r="N81" s="3"/>
      <c r="O81" s="3"/>
      <c r="P81" s="3"/>
      <c r="Q81" s="3"/>
      <c r="R81" s="3"/>
      <c r="S81" s="3"/>
      <c r="T81" s="3"/>
    </row>
    <row r="82" spans="2:20" x14ac:dyDescent="0.25">
      <c r="B82" s="3"/>
      <c r="C82" s="81"/>
      <c r="D82" s="3"/>
      <c r="E82" s="3"/>
      <c r="F82" s="3"/>
      <c r="G82" s="3"/>
      <c r="H82" s="3"/>
      <c r="I82" s="3"/>
      <c r="J82" s="3"/>
      <c r="L82" s="3"/>
      <c r="M82" s="3"/>
      <c r="N82" s="3"/>
      <c r="O82" s="3"/>
      <c r="P82" s="3"/>
      <c r="Q82" s="3"/>
      <c r="R82" s="3"/>
      <c r="S82" s="3"/>
      <c r="T82" s="3"/>
    </row>
    <row r="83" spans="2:20" x14ac:dyDescent="0.25">
      <c r="B83" s="3"/>
      <c r="C83" s="81"/>
      <c r="D83" s="3"/>
      <c r="E83" s="3"/>
      <c r="F83" s="3"/>
      <c r="G83" s="3"/>
      <c r="H83" s="3"/>
      <c r="I83" s="3"/>
      <c r="J83" s="3"/>
      <c r="L83" s="3"/>
      <c r="M83" s="3"/>
      <c r="N83" s="3"/>
      <c r="O83" s="3"/>
      <c r="P83" s="3"/>
      <c r="Q83" s="3"/>
      <c r="R83" s="3"/>
      <c r="S83" s="3"/>
      <c r="T83" s="3"/>
    </row>
    <row r="84" spans="2:20" x14ac:dyDescent="0.25">
      <c r="B84" s="3"/>
      <c r="C84" s="81"/>
      <c r="D84" s="3"/>
      <c r="E84" s="3"/>
      <c r="F84" s="3"/>
      <c r="G84" s="3"/>
      <c r="H84" s="3"/>
      <c r="I84" s="3"/>
      <c r="J84" s="3"/>
      <c r="L84" s="3"/>
      <c r="M84" s="3"/>
      <c r="N84" s="3"/>
      <c r="O84" s="3"/>
      <c r="P84" s="3"/>
      <c r="Q84" s="3"/>
      <c r="R84" s="3"/>
      <c r="S84" s="3"/>
      <c r="T84" s="3"/>
    </row>
    <row r="85" spans="2:20" x14ac:dyDescent="0.25">
      <c r="B85" s="3"/>
      <c r="C85" s="81"/>
      <c r="D85" s="3"/>
      <c r="E85" s="3"/>
      <c r="F85" s="3"/>
      <c r="G85" s="3"/>
      <c r="H85" s="3"/>
      <c r="I85" s="3"/>
      <c r="J85" s="3"/>
      <c r="L85" s="3"/>
      <c r="M85" s="3"/>
      <c r="N85" s="3"/>
      <c r="O85" s="3"/>
      <c r="P85" s="3"/>
      <c r="Q85" s="3"/>
      <c r="R85" s="3"/>
      <c r="S85" s="3"/>
      <c r="T85" s="3"/>
    </row>
    <row r="86" spans="2:20" x14ac:dyDescent="0.25">
      <c r="B86" s="3"/>
      <c r="C86" s="81"/>
      <c r="D86" s="3"/>
      <c r="E86" s="3"/>
      <c r="F86" s="3"/>
      <c r="G86" s="3"/>
      <c r="H86" s="3"/>
      <c r="I86" s="3"/>
      <c r="J86" s="3"/>
      <c r="L86" s="3"/>
      <c r="M86" s="3"/>
      <c r="N86" s="3"/>
      <c r="O86" s="3"/>
      <c r="P86" s="3"/>
      <c r="Q86" s="3"/>
      <c r="R86" s="3"/>
      <c r="S86" s="3"/>
      <c r="T86" s="3"/>
    </row>
    <row r="87" spans="2:20" x14ac:dyDescent="0.25">
      <c r="B87" s="3"/>
      <c r="C87" s="81"/>
      <c r="D87" s="3"/>
      <c r="E87" s="3"/>
      <c r="F87" s="3"/>
      <c r="G87" s="3"/>
      <c r="H87" s="3"/>
      <c r="I87" s="3"/>
      <c r="J87" s="3"/>
      <c r="L87" s="3"/>
      <c r="M87" s="3"/>
      <c r="N87" s="3"/>
      <c r="O87" s="3"/>
      <c r="P87" s="3"/>
      <c r="Q87" s="3"/>
      <c r="R87" s="3"/>
      <c r="S87" s="3"/>
      <c r="T87" s="3"/>
    </row>
    <row r="88" spans="2:20" x14ac:dyDescent="0.25">
      <c r="B88" s="3"/>
      <c r="C88" s="81"/>
      <c r="D88" s="3"/>
      <c r="E88" s="3"/>
      <c r="F88" s="3"/>
      <c r="G88" s="3"/>
      <c r="H88" s="3"/>
      <c r="I88" s="3"/>
      <c r="J88" s="3"/>
      <c r="L88" s="3"/>
      <c r="M88" s="3"/>
      <c r="N88" s="3"/>
      <c r="O88" s="3"/>
      <c r="P88" s="3"/>
      <c r="Q88" s="3"/>
      <c r="R88" s="3"/>
      <c r="S88" s="3"/>
      <c r="T88" s="3"/>
    </row>
    <row r="89" spans="2:20" x14ac:dyDescent="0.25">
      <c r="B89" s="3"/>
      <c r="C89" s="81"/>
      <c r="D89" s="3"/>
      <c r="E89" s="3"/>
      <c r="F89" s="3"/>
      <c r="G89" s="3"/>
      <c r="H89" s="3"/>
      <c r="I89" s="3"/>
      <c r="J89" s="3"/>
      <c r="L89" s="3"/>
      <c r="M89" s="3"/>
      <c r="N89" s="3"/>
      <c r="O89" s="3"/>
      <c r="P89" s="3"/>
      <c r="Q89" s="3"/>
      <c r="R89" s="3"/>
      <c r="S89" s="3"/>
      <c r="T89" s="3"/>
    </row>
    <row r="90" spans="2:20" x14ac:dyDescent="0.25">
      <c r="B90" s="3"/>
      <c r="C90" s="81"/>
      <c r="D90" s="3"/>
      <c r="E90" s="3"/>
      <c r="F90" s="3"/>
      <c r="G90" s="3"/>
      <c r="H90" s="3"/>
      <c r="I90" s="3"/>
      <c r="J90" s="3"/>
      <c r="L90" s="3"/>
      <c r="M90" s="3"/>
      <c r="N90" s="3"/>
      <c r="O90" s="3"/>
      <c r="P90" s="3"/>
      <c r="Q90" s="3"/>
      <c r="R90" s="3"/>
      <c r="S90" s="3"/>
      <c r="T90" s="3"/>
    </row>
    <row r="91" spans="2:20" x14ac:dyDescent="0.25">
      <c r="B91" s="3"/>
      <c r="C91" s="81"/>
      <c r="D91" s="3"/>
      <c r="E91" s="3"/>
      <c r="F91" s="3"/>
      <c r="G91" s="3"/>
      <c r="H91" s="3"/>
      <c r="I91" s="3"/>
      <c r="J91" s="3"/>
      <c r="L91" s="3"/>
      <c r="M91" s="3"/>
      <c r="N91" s="3"/>
      <c r="O91" s="3"/>
      <c r="P91" s="3"/>
      <c r="Q91" s="3"/>
      <c r="R91" s="3"/>
      <c r="S91" s="3"/>
      <c r="T91" s="3"/>
    </row>
    <row r="92" spans="2:20" x14ac:dyDescent="0.25">
      <c r="B92" s="3"/>
      <c r="C92" s="81"/>
      <c r="D92" s="3"/>
      <c r="E92" s="3"/>
      <c r="F92" s="3"/>
      <c r="G92" s="3"/>
      <c r="H92" s="3"/>
      <c r="I92" s="3"/>
      <c r="J92" s="3"/>
      <c r="L92" s="3"/>
      <c r="M92" s="3"/>
      <c r="N92" s="3"/>
      <c r="O92" s="3"/>
      <c r="P92" s="3"/>
      <c r="Q92" s="3"/>
      <c r="R92" s="3"/>
      <c r="S92" s="3"/>
      <c r="T92" s="3"/>
    </row>
    <row r="93" spans="2:20" x14ac:dyDescent="0.25">
      <c r="B93" s="3"/>
      <c r="C93" s="81"/>
      <c r="D93" s="3"/>
      <c r="E93" s="3"/>
      <c r="F93" s="3"/>
      <c r="G93" s="3"/>
      <c r="H93" s="3"/>
      <c r="I93" s="3"/>
      <c r="J93" s="3"/>
      <c r="L93" s="3"/>
      <c r="M93" s="3"/>
      <c r="N93" s="3"/>
      <c r="O93" s="3"/>
      <c r="P93" s="3"/>
      <c r="Q93" s="3"/>
      <c r="R93" s="3"/>
      <c r="S93" s="3"/>
      <c r="T93" s="3"/>
    </row>
    <row r="94" spans="2:20" x14ac:dyDescent="0.25">
      <c r="B94" s="3"/>
      <c r="C94" s="81"/>
      <c r="D94" s="3"/>
      <c r="E94" s="3"/>
      <c r="F94" s="3"/>
      <c r="G94" s="3"/>
      <c r="H94" s="3"/>
      <c r="I94" s="3"/>
      <c r="J94" s="3"/>
      <c r="L94" s="3"/>
      <c r="M94" s="3"/>
      <c r="N94" s="3"/>
      <c r="O94" s="3"/>
      <c r="P94" s="3"/>
      <c r="Q94" s="3"/>
      <c r="R94" s="3"/>
      <c r="S94" s="3"/>
      <c r="T94" s="3"/>
    </row>
    <row r="95" spans="2:20" x14ac:dyDescent="0.25">
      <c r="B95" s="3"/>
      <c r="C95" s="81"/>
      <c r="D95" s="3"/>
      <c r="E95" s="3"/>
      <c r="F95" s="3"/>
      <c r="G95" s="3"/>
      <c r="H95" s="3"/>
      <c r="I95" s="3"/>
      <c r="J95" s="3"/>
      <c r="L95" s="3"/>
      <c r="M95" s="3"/>
      <c r="N95" s="3"/>
      <c r="O95" s="3"/>
      <c r="P95" s="3"/>
      <c r="Q95" s="3"/>
      <c r="R95" s="3"/>
      <c r="S95" s="3"/>
      <c r="T95" s="3"/>
    </row>
    <row r="96" spans="2:20" x14ac:dyDescent="0.25">
      <c r="B96" s="3"/>
      <c r="C96" s="81"/>
      <c r="D96" s="3"/>
      <c r="E96" s="3"/>
      <c r="F96" s="3"/>
      <c r="G96" s="3"/>
      <c r="H96" s="3"/>
      <c r="I96" s="3"/>
      <c r="J96" s="3"/>
      <c r="L96" s="3"/>
      <c r="M96" s="3"/>
      <c r="N96" s="3"/>
      <c r="O96" s="3"/>
      <c r="P96" s="3"/>
      <c r="Q96" s="3"/>
      <c r="R96" s="3"/>
      <c r="S96" s="3"/>
      <c r="T96" s="3"/>
    </row>
    <row r="97" spans="2:20" x14ac:dyDescent="0.25">
      <c r="B97" s="3"/>
      <c r="C97" s="81"/>
      <c r="D97" s="3"/>
      <c r="E97" s="3"/>
      <c r="F97" s="3"/>
      <c r="G97" s="3"/>
      <c r="H97" s="3"/>
      <c r="I97" s="3"/>
      <c r="J97" s="3"/>
      <c r="L97" s="3"/>
      <c r="M97" s="3"/>
      <c r="N97" s="3"/>
      <c r="O97" s="3"/>
      <c r="P97" s="3"/>
      <c r="Q97" s="3"/>
      <c r="R97" s="3"/>
      <c r="S97" s="3"/>
      <c r="T97" s="3"/>
    </row>
    <row r="98" spans="2:20" x14ac:dyDescent="0.25">
      <c r="B98" s="3"/>
      <c r="C98" s="81"/>
      <c r="D98" s="3"/>
      <c r="E98" s="3"/>
      <c r="F98" s="3"/>
      <c r="G98" s="3"/>
      <c r="H98" s="3"/>
      <c r="I98" s="3"/>
      <c r="J98" s="3"/>
      <c r="L98" s="3"/>
      <c r="M98" s="3"/>
      <c r="N98" s="3"/>
      <c r="O98" s="3"/>
      <c r="P98" s="3"/>
      <c r="Q98" s="3"/>
      <c r="R98" s="3"/>
      <c r="S98" s="3"/>
      <c r="T98" s="3"/>
    </row>
    <row r="99" spans="2:20" x14ac:dyDescent="0.25">
      <c r="B99" s="3"/>
      <c r="C99" s="81"/>
      <c r="D99" s="3"/>
      <c r="E99" s="3"/>
      <c r="F99" s="3"/>
      <c r="G99" s="3"/>
      <c r="H99" s="3"/>
      <c r="I99" s="3"/>
      <c r="J99" s="3"/>
      <c r="L99" s="3"/>
      <c r="M99" s="3"/>
      <c r="N99" s="3"/>
      <c r="O99" s="3"/>
      <c r="P99" s="3"/>
      <c r="Q99" s="3"/>
      <c r="R99" s="3"/>
      <c r="S99" s="3"/>
      <c r="T99" s="3"/>
    </row>
    <row r="100" spans="2:20" x14ac:dyDescent="0.25">
      <c r="B100" s="3"/>
      <c r="C100" s="81"/>
      <c r="D100" s="3"/>
      <c r="E100" s="3"/>
      <c r="F100" s="3"/>
      <c r="G100" s="3"/>
      <c r="H100" s="3"/>
      <c r="I100" s="3"/>
      <c r="J100" s="3"/>
      <c r="L100" s="3"/>
      <c r="M100" s="3"/>
      <c r="N100" s="3"/>
      <c r="O100" s="3"/>
      <c r="P100" s="3"/>
      <c r="Q100" s="3"/>
      <c r="R100" s="3"/>
      <c r="S100" s="3"/>
      <c r="T100" s="3"/>
    </row>
    <row r="101" spans="2:20" x14ac:dyDescent="0.25">
      <c r="B101" s="3"/>
      <c r="C101" s="81"/>
      <c r="D101" s="3"/>
      <c r="E101" s="3"/>
      <c r="F101" s="3"/>
      <c r="G101" s="3"/>
      <c r="H101" s="3"/>
      <c r="I101" s="3"/>
      <c r="J101" s="3"/>
      <c r="L101" s="3"/>
      <c r="M101" s="3"/>
      <c r="N101" s="3"/>
      <c r="O101" s="3"/>
      <c r="P101" s="3"/>
      <c r="Q101" s="3"/>
      <c r="R101" s="3"/>
      <c r="S101" s="3"/>
      <c r="T101" s="3"/>
    </row>
    <row r="102" spans="2:20" x14ac:dyDescent="0.25">
      <c r="B102" s="3"/>
      <c r="C102" s="81"/>
      <c r="D102" s="3"/>
      <c r="E102" s="3"/>
      <c r="F102" s="3"/>
      <c r="G102" s="3"/>
      <c r="H102" s="3"/>
      <c r="I102" s="3"/>
      <c r="J102" s="3"/>
      <c r="L102" s="3"/>
      <c r="M102" s="3"/>
      <c r="N102" s="3"/>
      <c r="O102" s="3"/>
      <c r="P102" s="3"/>
      <c r="Q102" s="3"/>
      <c r="R102" s="3"/>
      <c r="S102" s="3"/>
      <c r="T102" s="3"/>
    </row>
    <row r="103" spans="2:20" x14ac:dyDescent="0.25">
      <c r="B103" s="3"/>
      <c r="C103" s="81"/>
      <c r="D103" s="3"/>
      <c r="E103" s="3"/>
      <c r="F103" s="3"/>
      <c r="G103" s="3"/>
      <c r="H103" s="3"/>
      <c r="I103" s="3"/>
      <c r="J103" s="3"/>
      <c r="L103" s="3"/>
      <c r="M103" s="3"/>
      <c r="N103" s="3"/>
      <c r="O103" s="3"/>
      <c r="P103" s="3"/>
      <c r="Q103" s="3"/>
      <c r="R103" s="3"/>
      <c r="S103" s="3"/>
      <c r="T103" s="3"/>
    </row>
    <row r="104" spans="2:20" x14ac:dyDescent="0.25">
      <c r="B104" s="3"/>
      <c r="C104" s="81"/>
      <c r="D104" s="3"/>
      <c r="E104" s="3"/>
      <c r="F104" s="3"/>
      <c r="G104" s="3"/>
      <c r="H104" s="3"/>
      <c r="I104" s="3"/>
      <c r="J104" s="3"/>
      <c r="L104" s="3"/>
      <c r="M104" s="3"/>
      <c r="N104" s="3"/>
      <c r="O104" s="3"/>
      <c r="P104" s="3"/>
      <c r="Q104" s="3"/>
      <c r="R104" s="3"/>
      <c r="S104" s="3"/>
      <c r="T104" s="3"/>
    </row>
    <row r="105" spans="2:20" x14ac:dyDescent="0.25">
      <c r="B105" s="3"/>
      <c r="C105" s="81"/>
      <c r="D105" s="3"/>
      <c r="E105" s="3"/>
      <c r="F105" s="3"/>
      <c r="G105" s="3"/>
      <c r="H105" s="3"/>
      <c r="I105" s="3"/>
      <c r="J105" s="3"/>
      <c r="L105" s="3"/>
      <c r="M105" s="3"/>
      <c r="N105" s="3"/>
      <c r="O105" s="3"/>
      <c r="P105" s="3"/>
      <c r="Q105" s="3"/>
      <c r="R105" s="3"/>
      <c r="S105" s="3"/>
      <c r="T105" s="3"/>
    </row>
    <row r="106" spans="2:20" x14ac:dyDescent="0.25">
      <c r="B106" s="3"/>
      <c r="C106" s="81"/>
      <c r="D106" s="3"/>
      <c r="E106" s="3"/>
      <c r="F106" s="3"/>
      <c r="G106" s="3"/>
      <c r="H106" s="3"/>
      <c r="I106" s="3"/>
      <c r="J106" s="3"/>
      <c r="L106" s="3"/>
      <c r="M106" s="3"/>
      <c r="N106" s="3"/>
      <c r="O106" s="3"/>
      <c r="P106" s="3"/>
      <c r="Q106" s="3"/>
      <c r="R106" s="3"/>
      <c r="S106" s="3"/>
      <c r="T106" s="3"/>
    </row>
    <row r="107" spans="2:20" x14ac:dyDescent="0.25">
      <c r="B107" s="3"/>
      <c r="C107" s="81"/>
      <c r="D107" s="3"/>
      <c r="E107" s="3"/>
      <c r="F107" s="3"/>
      <c r="G107" s="3"/>
      <c r="H107" s="3"/>
      <c r="I107" s="3"/>
      <c r="J107" s="3"/>
      <c r="L107" s="3"/>
      <c r="M107" s="3"/>
      <c r="N107" s="3"/>
      <c r="O107" s="3"/>
      <c r="P107" s="3"/>
      <c r="Q107" s="3"/>
      <c r="R107" s="3"/>
      <c r="S107" s="3"/>
      <c r="T107" s="3"/>
    </row>
    <row r="108" spans="2:20" x14ac:dyDescent="0.25">
      <c r="B108" s="3"/>
      <c r="C108" s="81"/>
      <c r="D108" s="3"/>
      <c r="E108" s="3"/>
      <c r="F108" s="3"/>
      <c r="G108" s="3"/>
      <c r="H108" s="3"/>
      <c r="I108" s="3"/>
      <c r="J108" s="3"/>
      <c r="L108" s="3"/>
      <c r="M108" s="3"/>
      <c r="N108" s="3"/>
      <c r="O108" s="3"/>
      <c r="P108" s="3"/>
      <c r="Q108" s="3"/>
      <c r="R108" s="3"/>
      <c r="S108" s="3"/>
      <c r="T108" s="3"/>
    </row>
    <row r="109" spans="2:20" x14ac:dyDescent="0.25">
      <c r="B109" s="3"/>
      <c r="C109" s="81"/>
      <c r="D109" s="3"/>
      <c r="E109" s="3"/>
      <c r="F109" s="3"/>
      <c r="G109" s="3"/>
      <c r="H109" s="3"/>
      <c r="I109" s="3"/>
      <c r="J109" s="3"/>
      <c r="L109" s="3"/>
      <c r="M109" s="3"/>
      <c r="N109" s="3"/>
      <c r="O109" s="3"/>
      <c r="P109" s="3"/>
      <c r="Q109" s="3"/>
      <c r="R109" s="3"/>
      <c r="S109" s="3"/>
      <c r="T109" s="3"/>
    </row>
    <row r="110" spans="2:20" x14ac:dyDescent="0.25">
      <c r="B110" s="3"/>
      <c r="C110" s="81"/>
      <c r="D110" s="3"/>
      <c r="E110" s="3"/>
      <c r="F110" s="3"/>
      <c r="G110" s="3"/>
      <c r="H110" s="3"/>
      <c r="I110" s="3"/>
      <c r="J110" s="3"/>
      <c r="L110" s="3"/>
      <c r="M110" s="3"/>
      <c r="N110" s="3"/>
      <c r="O110" s="3"/>
      <c r="P110" s="3"/>
      <c r="Q110" s="3"/>
      <c r="R110" s="3"/>
      <c r="S110" s="3"/>
      <c r="T110" s="3"/>
    </row>
    <row r="111" spans="2:20" x14ac:dyDescent="0.25">
      <c r="B111" s="3"/>
      <c r="C111" s="81"/>
      <c r="D111" s="3"/>
      <c r="E111" s="3"/>
      <c r="F111" s="3"/>
      <c r="G111" s="3"/>
      <c r="H111" s="3"/>
      <c r="I111" s="3"/>
      <c r="J111" s="3"/>
      <c r="L111" s="3"/>
      <c r="M111" s="3"/>
      <c r="N111" s="3"/>
      <c r="O111" s="3"/>
      <c r="P111" s="3"/>
      <c r="Q111" s="3"/>
      <c r="R111" s="3"/>
      <c r="S111" s="3"/>
      <c r="T111" s="3"/>
    </row>
    <row r="112" spans="2:20" x14ac:dyDescent="0.25">
      <c r="B112" s="3"/>
      <c r="C112" s="81"/>
      <c r="D112" s="3"/>
      <c r="E112" s="3"/>
      <c r="F112" s="3"/>
      <c r="G112" s="3"/>
      <c r="H112" s="3"/>
      <c r="I112" s="3"/>
      <c r="J112" s="3"/>
      <c r="L112" s="3"/>
      <c r="M112" s="3"/>
      <c r="N112" s="3"/>
      <c r="O112" s="3"/>
      <c r="P112" s="3"/>
      <c r="Q112" s="3"/>
      <c r="R112" s="3"/>
      <c r="S112" s="3"/>
      <c r="T112" s="3"/>
    </row>
    <row r="113" spans="1:20" x14ac:dyDescent="0.25">
      <c r="B113" s="3"/>
      <c r="C113" s="81"/>
      <c r="D113" s="3"/>
      <c r="E113" s="3"/>
      <c r="F113" s="3"/>
      <c r="G113" s="3"/>
      <c r="H113" s="3"/>
      <c r="I113" s="3"/>
      <c r="J113" s="3"/>
      <c r="L113" s="3"/>
      <c r="M113" s="3"/>
      <c r="N113" s="3"/>
      <c r="O113" s="3"/>
      <c r="P113" s="3"/>
      <c r="Q113" s="3"/>
      <c r="R113" s="3"/>
      <c r="S113" s="3"/>
      <c r="T113" s="3"/>
    </row>
    <row r="114" spans="1:20" x14ac:dyDescent="0.25">
      <c r="B114" s="3"/>
      <c r="C114" s="81"/>
      <c r="D114" s="3"/>
      <c r="E114" s="3"/>
      <c r="F114" s="3"/>
      <c r="G114" s="3"/>
      <c r="H114" s="3"/>
      <c r="I114" s="3"/>
      <c r="J114" s="3"/>
      <c r="L114" s="3"/>
      <c r="M114" s="3"/>
    </row>
    <row r="115" spans="1:20" x14ac:dyDescent="0.25">
      <c r="B115" s="3"/>
      <c r="C115" s="81"/>
      <c r="D115" s="3"/>
      <c r="E115" s="3"/>
      <c r="F115" s="3"/>
      <c r="G115" s="3"/>
      <c r="H115" s="3"/>
      <c r="I115" s="3"/>
      <c r="J115" s="3"/>
      <c r="L115" s="3"/>
      <c r="M115" s="3"/>
      <c r="N115" s="3"/>
      <c r="O115" s="3"/>
      <c r="P115" s="3"/>
      <c r="Q115" s="3"/>
      <c r="R115" s="3"/>
      <c r="S115" s="3"/>
      <c r="T115" s="3"/>
    </row>
    <row r="116" spans="1:20" x14ac:dyDescent="0.25">
      <c r="B116" s="3"/>
      <c r="C116" s="81"/>
      <c r="D116" s="3"/>
      <c r="E116" s="3"/>
      <c r="F116" s="3"/>
      <c r="G116" s="3"/>
      <c r="H116" s="3"/>
      <c r="I116" s="3"/>
      <c r="J116" s="3"/>
      <c r="L116" s="3"/>
      <c r="M116" s="3"/>
      <c r="N116" s="3"/>
      <c r="O116" s="3"/>
      <c r="P116" s="3"/>
      <c r="Q116" s="3"/>
      <c r="R116" s="3"/>
      <c r="S116" s="3"/>
      <c r="T116" s="3"/>
    </row>
    <row r="117" spans="1:20" x14ac:dyDescent="0.25">
      <c r="B117" s="3"/>
      <c r="C117" s="81"/>
      <c r="D117" s="3"/>
      <c r="E117" s="3"/>
      <c r="F117" s="3"/>
      <c r="G117" s="3"/>
      <c r="H117" s="3"/>
      <c r="I117" s="3"/>
      <c r="J117" s="3"/>
      <c r="L117" s="3"/>
      <c r="M117" s="3"/>
      <c r="N117" s="3"/>
      <c r="O117" s="3"/>
      <c r="P117" s="3"/>
      <c r="Q117" s="3"/>
      <c r="R117" s="3"/>
      <c r="S117" s="3"/>
      <c r="T117" s="3"/>
    </row>
    <row r="118" spans="1:20" x14ac:dyDescent="0.25">
      <c r="B118" s="3"/>
      <c r="C118" s="81"/>
      <c r="D118" s="3"/>
      <c r="E118" s="3"/>
      <c r="F118" s="3"/>
      <c r="G118" s="3"/>
      <c r="H118" s="3"/>
      <c r="I118" s="3"/>
      <c r="J118" s="3"/>
      <c r="L118" s="3"/>
      <c r="M118" s="3"/>
      <c r="N118" s="3"/>
      <c r="O118" s="3"/>
      <c r="P118" s="3"/>
      <c r="Q118" s="3"/>
      <c r="R118" s="3"/>
      <c r="S118" s="3"/>
      <c r="T118" s="3"/>
    </row>
    <row r="119" spans="1:20" x14ac:dyDescent="0.25">
      <c r="B119" s="3"/>
      <c r="C119" s="81"/>
      <c r="D119" s="3"/>
      <c r="E119" s="3"/>
      <c r="F119" s="3"/>
      <c r="G119" s="3"/>
      <c r="H119" s="3"/>
      <c r="I119" s="3"/>
      <c r="J119" s="3"/>
      <c r="L119" s="3"/>
    </row>
    <row r="120" spans="1:20" x14ac:dyDescent="0.25">
      <c r="A120" s="87"/>
      <c r="B120" s="3"/>
      <c r="C120" s="81"/>
      <c r="D120" s="3"/>
      <c r="E120" s="3"/>
      <c r="F120" s="3"/>
      <c r="G120" s="3"/>
      <c r="H120" s="3"/>
      <c r="I120" s="3"/>
      <c r="J120" s="3"/>
      <c r="K120" s="10"/>
    </row>
    <row r="121" spans="1:20" x14ac:dyDescent="0.25">
      <c r="B121" s="3"/>
      <c r="C121" s="81"/>
      <c r="D121" s="3"/>
      <c r="E121" s="3"/>
      <c r="F121" s="3"/>
      <c r="G121" s="3"/>
      <c r="H121" s="3"/>
      <c r="I121" s="3"/>
      <c r="J121" s="3"/>
      <c r="K121" s="10"/>
    </row>
    <row r="122" spans="1:20" x14ac:dyDescent="0.25">
      <c r="B122" s="3"/>
      <c r="C122" s="81"/>
      <c r="D122" s="3"/>
      <c r="E122" s="3"/>
      <c r="F122" s="3"/>
      <c r="G122" s="3"/>
      <c r="H122" s="3"/>
      <c r="I122" s="3"/>
      <c r="J122" s="3"/>
      <c r="K122" s="1"/>
    </row>
    <row r="123" spans="1:20" x14ac:dyDescent="0.25">
      <c r="B123" s="3"/>
      <c r="C123" s="81"/>
      <c r="D123" s="3"/>
      <c r="E123" s="3"/>
      <c r="F123" s="3"/>
      <c r="G123" s="3"/>
      <c r="H123" s="3"/>
      <c r="I123" s="3"/>
    </row>
    <row r="124" spans="1:20" x14ac:dyDescent="0.25">
      <c r="B124" s="3"/>
      <c r="C124" s="81"/>
      <c r="D124" s="3"/>
      <c r="E124" s="3"/>
      <c r="F124" s="3"/>
      <c r="G124" s="3"/>
      <c r="H124" s="3"/>
      <c r="I124" s="3"/>
    </row>
    <row r="125" spans="1:20" x14ac:dyDescent="0.25">
      <c r="B125" s="3"/>
      <c r="C125" s="81"/>
      <c r="D125" s="3"/>
      <c r="E125" s="3"/>
      <c r="F125" s="3"/>
      <c r="G125" s="3"/>
      <c r="H125" s="3"/>
      <c r="I125" s="3"/>
    </row>
  </sheetData>
  <mergeCells count="4">
    <mergeCell ref="A1:J1"/>
    <mergeCell ref="B3:C3"/>
    <mergeCell ref="K4:T4"/>
    <mergeCell ref="K29:T29"/>
  </mergeCells>
  <pageMargins left="0.7" right="0.7" top="0.75" bottom="0.75" header="0.511811023622047" footer="0.511811023622047"/>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A27C2-361C-4951-9EB0-BE901E05F912}">
  <dimension ref="A1:W63"/>
  <sheetViews>
    <sheetView workbookViewId="0">
      <pane xSplit="3" ySplit="3" topLeftCell="D4" activePane="bottomRight" state="frozen"/>
      <selection pane="topRight" activeCell="D1" sqref="D1"/>
      <selection pane="bottomLeft" activeCell="A3" sqref="A3"/>
      <selection pane="bottomRight" activeCell="A3" sqref="A3"/>
    </sheetView>
  </sheetViews>
  <sheetFormatPr defaultColWidth="8.5703125" defaultRowHeight="15" x14ac:dyDescent="0.25"/>
  <cols>
    <col min="1" max="1" width="50.7109375" style="3" customWidth="1"/>
    <col min="2" max="3" width="12.7109375" style="1" customWidth="1"/>
    <col min="4" max="4" width="10.7109375" style="1" customWidth="1"/>
    <col min="5" max="7" width="14.7109375" style="1" customWidth="1"/>
    <col min="8" max="8" width="17.5703125" style="1" customWidth="1"/>
    <col min="9" max="9" width="4.7109375" style="1" customWidth="1"/>
    <col min="10" max="10" width="10.7109375" style="1" customWidth="1"/>
    <col min="11" max="11" width="110.7109375" style="1" customWidth="1"/>
    <col min="12" max="15" width="22.42578125" style="1" customWidth="1"/>
    <col min="16" max="16384" width="8.5703125" style="1"/>
  </cols>
  <sheetData>
    <row r="1" spans="1:20" x14ac:dyDescent="0.25">
      <c r="A1" s="100" t="s">
        <v>780</v>
      </c>
      <c r="B1" s="100"/>
      <c r="C1" s="100"/>
      <c r="D1" s="100"/>
      <c r="E1" s="100"/>
      <c r="F1" s="100"/>
      <c r="G1" s="100"/>
      <c r="H1" s="100"/>
      <c r="I1" s="100"/>
      <c r="J1" s="100"/>
      <c r="K1" s="3"/>
    </row>
    <row r="2" spans="1:20" x14ac:dyDescent="0.25">
      <c r="A2" s="3" t="s">
        <v>900</v>
      </c>
      <c r="K2" s="3"/>
    </row>
    <row r="3" spans="1:20" x14ac:dyDescent="0.25">
      <c r="A3" s="65" t="s">
        <v>899</v>
      </c>
      <c r="B3" s="109" t="s">
        <v>496</v>
      </c>
      <c r="C3" s="109"/>
      <c r="D3" s="66" t="s">
        <v>83</v>
      </c>
      <c r="E3" s="67" t="s">
        <v>84</v>
      </c>
      <c r="F3" s="68" t="s">
        <v>85</v>
      </c>
      <c r="G3" s="68" t="s">
        <v>86</v>
      </c>
      <c r="H3" s="69" t="s">
        <v>87</v>
      </c>
      <c r="I3" s="70" t="s">
        <v>88</v>
      </c>
      <c r="J3" s="70" t="s">
        <v>487</v>
      </c>
      <c r="K3" s="71" t="s">
        <v>135</v>
      </c>
      <c r="L3" s="72" t="s">
        <v>351</v>
      </c>
      <c r="M3" s="72" t="s">
        <v>357</v>
      </c>
      <c r="N3" s="72" t="s">
        <v>352</v>
      </c>
      <c r="O3" s="73" t="s">
        <v>355</v>
      </c>
    </row>
    <row r="4" spans="1:20" customFormat="1" x14ac:dyDescent="0.25">
      <c r="A4" s="43" t="s">
        <v>89</v>
      </c>
      <c r="B4" s="62"/>
      <c r="C4" s="62"/>
      <c r="D4" s="62"/>
      <c r="E4" s="62"/>
      <c r="F4" s="62"/>
      <c r="G4" s="62"/>
      <c r="H4" s="62"/>
      <c r="I4" s="62"/>
      <c r="J4" s="63"/>
      <c r="K4" s="104"/>
      <c r="L4" s="105"/>
      <c r="M4" s="105"/>
      <c r="N4" s="105"/>
      <c r="O4" s="105"/>
      <c r="P4" s="105"/>
      <c r="Q4" s="105"/>
      <c r="R4" s="105"/>
      <c r="S4" s="105"/>
      <c r="T4" s="106"/>
    </row>
    <row r="5" spans="1:20" x14ac:dyDescent="0.25">
      <c r="A5" s="41"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row>
    <row r="6" spans="1:20" x14ac:dyDescent="0.25">
      <c r="A6" s="41"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row>
    <row r="7" spans="1:20" x14ac:dyDescent="0.25">
      <c r="A7" s="41"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row>
    <row r="8" spans="1:20" x14ac:dyDescent="0.25">
      <c r="A8" s="41"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row>
    <row r="9" spans="1:20" x14ac:dyDescent="0.25">
      <c r="A9" s="41"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tr">
        <f>IF('DATI LOGICI'!I7&lt;&gt;"",'DATI LOGICI'!I7,"")</f>
        <v>N</v>
      </c>
    </row>
    <row r="10" spans="1:20" x14ac:dyDescent="0.25">
      <c r="A10" s="41"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K10" s="1" t="s">
        <v>466</v>
      </c>
    </row>
    <row r="11" spans="1:20" ht="285" x14ac:dyDescent="0.25">
      <c r="A11" s="41"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8" t="s">
        <v>494</v>
      </c>
      <c r="K11" s="42" t="s">
        <v>608</v>
      </c>
    </row>
    <row r="12" spans="1:20" x14ac:dyDescent="0.25">
      <c r="A12" s="41"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row>
    <row r="13" spans="1:20" x14ac:dyDescent="0.25">
      <c r="A13" s="3"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row>
    <row r="14" spans="1:20" x14ac:dyDescent="0.25">
      <c r="A14" s="3"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row>
    <row r="15" spans="1:20" x14ac:dyDescent="0.25">
      <c r="A15" s="3"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row>
    <row r="16" spans="1:20" x14ac:dyDescent="0.25">
      <c r="A16" s="41"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1" t="s">
        <v>489</v>
      </c>
      <c r="K16" s="1" t="s">
        <v>488</v>
      </c>
    </row>
    <row r="17" spans="1:11" x14ac:dyDescent="0.25">
      <c r="A17" s="41"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1" t="s">
        <v>489</v>
      </c>
      <c r="K17" s="1" t="s">
        <v>467</v>
      </c>
    </row>
    <row r="18" spans="1:11" x14ac:dyDescent="0.25">
      <c r="A18" s="41"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1" t="s">
        <v>489</v>
      </c>
      <c r="K18" s="1" t="s">
        <v>468</v>
      </c>
    </row>
    <row r="19" spans="1:11" x14ac:dyDescent="0.25">
      <c r="A19" s="41"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1" t="s">
        <v>489</v>
      </c>
      <c r="K19" s="1" t="s">
        <v>469</v>
      </c>
    </row>
    <row r="20" spans="1:11" x14ac:dyDescent="0.25">
      <c r="A20" s="41"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t="str">
        <f>IF('DATI LOGICI'!F18&lt;&gt;"",'DATI LOGICI'!F18,"")</f>
        <v/>
      </c>
      <c r="G20" s="3" t="str">
        <f>IF('DATI LOGICI'!G18&lt;&gt;"",'DATI LOGICI'!G18,"")</f>
        <v/>
      </c>
      <c r="H20" s="3" t="str">
        <f>IF('DATI LOGICI'!H18&lt;&gt;"",'DATI LOGICI'!H18,"")</f>
        <v/>
      </c>
      <c r="I20" s="3" t="str">
        <f>IF('DATI LOGICI'!I18&lt;&gt;"",'DATI LOGICI'!I18,"")</f>
        <v>R</v>
      </c>
    </row>
    <row r="21" spans="1:11" x14ac:dyDescent="0.25">
      <c r="A21" s="3"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row>
    <row r="22" spans="1:11" x14ac:dyDescent="0.25">
      <c r="A22" s="3"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row>
    <row r="23" spans="1:11" x14ac:dyDescent="0.25">
      <c r="A23" s="3"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row>
    <row r="24" spans="1:11" x14ac:dyDescent="0.25">
      <c r="A24" s="3"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row>
    <row r="25" spans="1:11" x14ac:dyDescent="0.25">
      <c r="A25" s="3"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row>
    <row r="26" spans="1:11" x14ac:dyDescent="0.25">
      <c r="A26" s="41"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row>
    <row r="27" spans="1:11" x14ac:dyDescent="0.25">
      <c r="A27" s="41"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row>
    <row r="28" spans="1:11" x14ac:dyDescent="0.25">
      <c r="A28" s="3" t="str">
        <f>IF('DATI LOGICI'!A26&lt;&gt;"",'DATI LOGICI'!A26,"")</f>
        <v>Firmware Bootloader</v>
      </c>
      <c r="B28" s="3">
        <f>IF('DATI LOGICI'!B26&lt;&gt;"",'DATI LOGICI'!B26,"")</f>
        <v>0</v>
      </c>
      <c r="C28" s="3">
        <f>IF('DATI LOGICI'!C26&lt;&gt;"",'DATI LOGICI'!C26,"")</f>
        <v>17</v>
      </c>
      <c r="D28" s="3" t="str">
        <f>IF('DATI LOGICI'!D26&lt;&gt;"",'DATI LOGICI'!D26,"")</f>
        <v xml:space="preserve">uint16_t </v>
      </c>
      <c r="E28" s="3" t="str">
        <f>IF('DATI LOGICI'!E26&lt;&gt;"",'DATI LOGICI'!E26,"")</f>
        <v>255.255</v>
      </c>
      <c r="F28" s="3">
        <f>IF('DATI LOGICI'!F26&lt;&gt;"",'DATI LOGICI'!F26,"")</f>
        <v>0</v>
      </c>
      <c r="G28" s="3" t="str">
        <f>IF('DATI LOGICI'!G26&lt;&gt;"",'DATI LOGICI'!G26,"")</f>
        <v>255.255</v>
      </c>
      <c r="H28" s="3" t="str">
        <f>IF('DATI LOGICI'!H26&lt;&gt;"",'DATI LOGICI'!H26,"")</f>
        <v/>
      </c>
      <c r="I28" s="3" t="str">
        <f>IF('DATI LOGICI'!I26&lt;&gt;"",'DATI LOGICI'!I26,"")</f>
        <v>R</v>
      </c>
    </row>
    <row r="29" spans="1:11" x14ac:dyDescent="0.25">
      <c r="A29" s="3" t="str">
        <f>IF('DATI LOGICI'!A27&lt;&gt;"",'DATI LOGICI'!A27,"")</f>
        <v/>
      </c>
      <c r="B29" s="3" t="str">
        <f>IF('DATI LOGICI'!B27&lt;&gt;"",'DATI LOGICI'!B27,"")</f>
        <v/>
      </c>
      <c r="C29" s="3" t="str">
        <f>IF('DATI LOGICI'!C27&lt;&gt;"",'DATI LOGICI'!C27,"")</f>
        <v/>
      </c>
      <c r="D29" s="3" t="str">
        <f>IF('DATI LOGICI'!D27&lt;&gt;"",'DATI LOGICI'!D27,"")</f>
        <v/>
      </c>
      <c r="E29" s="3" t="str">
        <f>IF('DATI LOGICI'!E27&lt;&gt;"",'DATI LOGICI'!E27,"")</f>
        <v/>
      </c>
      <c r="F29" s="3" t="str">
        <f>IF('DATI LOGICI'!F27&lt;&gt;"",'DATI LOGICI'!F27,"")</f>
        <v/>
      </c>
      <c r="G29" s="3" t="str">
        <f>IF('DATI LOGICI'!G27&lt;&gt;"",'DATI LOGICI'!G27,"")</f>
        <v/>
      </c>
      <c r="H29" s="3" t="str">
        <f>IF('DATI LOGICI'!H27&lt;&gt;"",'DATI LOGICI'!H27,"")</f>
        <v/>
      </c>
      <c r="I29" s="3" t="str">
        <f>IF('DATI LOGICI'!I27&lt;&gt;"",'DATI LOGICI'!I27,"")</f>
        <v/>
      </c>
    </row>
    <row r="30" spans="1:11" x14ac:dyDescent="0.25">
      <c r="A30" s="3" t="str">
        <f>IF('DATI LOGICI'!A28&lt;&gt;"",'DATI LOGICI'!A28,"")</f>
        <v/>
      </c>
      <c r="B30" s="3" t="str">
        <f>IF('DATI LOGICI'!B28&lt;&gt;"",'DATI LOGICI'!B28,"")</f>
        <v/>
      </c>
      <c r="C30" s="3" t="str">
        <f>IF('DATI LOGICI'!C28&lt;&gt;"",'DATI LOGICI'!C28,"")</f>
        <v/>
      </c>
      <c r="D30" s="3" t="str">
        <f>IF('DATI LOGICI'!D28&lt;&gt;"",'DATI LOGICI'!D28,"")</f>
        <v/>
      </c>
      <c r="E30" s="3" t="str">
        <f>IF('DATI LOGICI'!E28&lt;&gt;"",'DATI LOGICI'!E28,"")</f>
        <v/>
      </c>
      <c r="F30" s="3" t="str">
        <f>IF('DATI LOGICI'!F28&lt;&gt;"",'DATI LOGICI'!F28,"")</f>
        <v/>
      </c>
      <c r="G30" s="3" t="str">
        <f>IF('DATI LOGICI'!G28&lt;&gt;"",'DATI LOGICI'!G28,"")</f>
        <v/>
      </c>
      <c r="H30" s="3" t="str">
        <f>IF('DATI LOGICI'!H28&lt;&gt;"",'DATI LOGICI'!H28,"")</f>
        <v/>
      </c>
      <c r="I30" s="3" t="str">
        <f>IF('DATI LOGICI'!I28&lt;&gt;"",'DATI LOGICI'!I28,"")</f>
        <v/>
      </c>
    </row>
    <row r="31" spans="1:11" x14ac:dyDescent="0.25">
      <c r="A31" s="3" t="str">
        <f>IF('DATI LOGICI'!A29&lt;&gt;"",'DATI LOGICI'!A29,"")</f>
        <v/>
      </c>
      <c r="B31" s="3" t="str">
        <f>IF('DATI LOGICI'!B29&lt;&gt;"",'DATI LOGICI'!B29,"")</f>
        <v/>
      </c>
      <c r="C31" s="3" t="str">
        <f>IF('DATI LOGICI'!C29&lt;&gt;"",'DATI LOGICI'!C29,"")</f>
        <v/>
      </c>
      <c r="D31" s="3" t="str">
        <f>IF('DATI LOGICI'!D29&lt;&gt;"",'DATI LOGICI'!D29,"")</f>
        <v/>
      </c>
      <c r="E31" s="3" t="str">
        <f>IF('DATI LOGICI'!E29&lt;&gt;"",'DATI LOGICI'!E29,"")</f>
        <v/>
      </c>
      <c r="F31" s="3" t="str">
        <f>IF('DATI LOGICI'!F29&lt;&gt;"",'DATI LOGICI'!F29,"")</f>
        <v/>
      </c>
      <c r="G31" s="3" t="str">
        <f>IF('DATI LOGICI'!G29&lt;&gt;"",'DATI LOGICI'!G29,"")</f>
        <v/>
      </c>
      <c r="H31" s="3" t="str">
        <f>IF('DATI LOGICI'!H29&lt;&gt;"",'DATI LOGICI'!H29,"")</f>
        <v/>
      </c>
      <c r="I31" s="3" t="str">
        <f>IF('DATI LOGICI'!I29&lt;&gt;"",'DATI LOGICI'!I29,"")</f>
        <v/>
      </c>
    </row>
    <row r="32" spans="1:11" x14ac:dyDescent="0.25">
      <c r="A32" s="3" t="str">
        <f>IF('DATI LOGICI'!A30&lt;&gt;"",'DATI LOGICI'!A30,"")</f>
        <v/>
      </c>
      <c r="B32" s="3" t="str">
        <f>IF('DATI LOGICI'!B30&lt;&gt;"",'DATI LOGICI'!B30,"")</f>
        <v/>
      </c>
      <c r="C32" s="3" t="str">
        <f>IF('DATI LOGICI'!C30&lt;&gt;"",'DATI LOGICI'!C30,"")</f>
        <v/>
      </c>
      <c r="D32" s="3" t="str">
        <f>IF('DATI LOGICI'!D30&lt;&gt;"",'DATI LOGICI'!D30,"")</f>
        <v/>
      </c>
      <c r="E32" s="3" t="str">
        <f>IF('DATI LOGICI'!E30&lt;&gt;"",'DATI LOGICI'!E30,"")</f>
        <v/>
      </c>
      <c r="F32" s="3" t="str">
        <f>IF('DATI LOGICI'!F30&lt;&gt;"",'DATI LOGICI'!F30,"")</f>
        <v/>
      </c>
      <c r="G32" s="3" t="str">
        <f>IF('DATI LOGICI'!G30&lt;&gt;"",'DATI LOGICI'!G30,"")</f>
        <v/>
      </c>
      <c r="H32" s="3" t="str">
        <f>IF('DATI LOGICI'!H30&lt;&gt;"",'DATI LOGICI'!H30,"")</f>
        <v/>
      </c>
      <c r="I32" s="3" t="str">
        <f>IF('DATI LOGICI'!I30&lt;&gt;"",'DATI LOGICI'!I30,"")</f>
        <v/>
      </c>
    </row>
    <row r="33" spans="1:23" x14ac:dyDescent="0.25">
      <c r="A33" s="3" t="str">
        <f>IF('DATI LOGICI'!A31&lt;&gt;"",'DATI LOGICI'!A31,"")</f>
        <v/>
      </c>
      <c r="B33" s="3" t="str">
        <f>IF('DATI LOGICI'!B31&lt;&gt;"",'DATI LOGICI'!B31,"")</f>
        <v/>
      </c>
      <c r="C33" s="3" t="str">
        <f>IF('DATI LOGICI'!C31&lt;&gt;"",'DATI LOGICI'!C31,"")</f>
        <v/>
      </c>
      <c r="D33" s="3" t="str">
        <f>IF('DATI LOGICI'!D31&lt;&gt;"",'DATI LOGICI'!D31,"")</f>
        <v/>
      </c>
      <c r="E33" s="3" t="str">
        <f>IF('DATI LOGICI'!E31&lt;&gt;"",'DATI LOGICI'!E31,"")</f>
        <v/>
      </c>
      <c r="F33" s="3" t="str">
        <f>IF('DATI LOGICI'!F31&lt;&gt;"",'DATI LOGICI'!F31,"")</f>
        <v/>
      </c>
      <c r="G33" s="3" t="str">
        <f>IF('DATI LOGICI'!G31&lt;&gt;"",'DATI LOGICI'!G31,"")</f>
        <v/>
      </c>
      <c r="H33" s="3" t="str">
        <f>IF('DATI LOGICI'!H31&lt;&gt;"",'DATI LOGICI'!H31,"")</f>
        <v/>
      </c>
      <c r="I33" s="3" t="str">
        <f>IF('DATI LOGICI'!I31&lt;&gt;"",'DATI LOGICI'!I31,"")</f>
        <v/>
      </c>
    </row>
    <row r="34" spans="1:23" x14ac:dyDescent="0.25">
      <c r="A34" s="3" t="str">
        <f>IF('DATI LOGICI'!A32&lt;&gt;"",'DATI LOGICI'!A32,"")</f>
        <v/>
      </c>
      <c r="B34" s="3" t="str">
        <f>IF('DATI LOGICI'!B32&lt;&gt;"",'DATI LOGICI'!B32,"")</f>
        <v/>
      </c>
      <c r="C34" s="3" t="str">
        <f>IF('DATI LOGICI'!C32&lt;&gt;"",'DATI LOGICI'!C32,"")</f>
        <v/>
      </c>
      <c r="D34" s="3" t="str">
        <f>IF('DATI LOGICI'!D32&lt;&gt;"",'DATI LOGICI'!D32,"")</f>
        <v/>
      </c>
      <c r="E34" s="3" t="str">
        <f>IF('DATI LOGICI'!E32&lt;&gt;"",'DATI LOGICI'!E32,"")</f>
        <v/>
      </c>
      <c r="F34" s="3" t="str">
        <f>IF('DATI LOGICI'!F32&lt;&gt;"",'DATI LOGICI'!F32,"")</f>
        <v/>
      </c>
      <c r="G34" s="3" t="str">
        <f>IF('DATI LOGICI'!G32&lt;&gt;"",'DATI LOGICI'!G32,"")</f>
        <v/>
      </c>
      <c r="H34" s="3" t="str">
        <f>IF('DATI LOGICI'!H32&lt;&gt;"",'DATI LOGICI'!H32,"")</f>
        <v/>
      </c>
      <c r="I34" s="3" t="str">
        <f>IF('DATI LOGICI'!I32&lt;&gt;"",'DATI LOGICI'!I32,"")</f>
        <v/>
      </c>
    </row>
    <row r="35" spans="1:23" x14ac:dyDescent="0.25">
      <c r="A35" s="3" t="str">
        <f>IF('DATI LOGICI'!A33&lt;&gt;"",'DATI LOGICI'!A33,"")</f>
        <v/>
      </c>
      <c r="B35" s="3" t="str">
        <f>IF('DATI LOGICI'!B33&lt;&gt;"",'DATI LOGICI'!B33,"")</f>
        <v/>
      </c>
      <c r="C35" s="3" t="str">
        <f>IF('DATI LOGICI'!C33&lt;&gt;"",'DATI LOGICI'!C33,"")</f>
        <v/>
      </c>
      <c r="D35" s="3" t="str">
        <f>IF('DATI LOGICI'!D33&lt;&gt;"",'DATI LOGICI'!D33,"")</f>
        <v/>
      </c>
      <c r="E35" s="3" t="str">
        <f>IF('DATI LOGICI'!E33&lt;&gt;"",'DATI LOGICI'!E33,"")</f>
        <v/>
      </c>
      <c r="F35" s="3" t="str">
        <f>IF('DATI LOGICI'!F33&lt;&gt;"",'DATI LOGICI'!F33,"")</f>
        <v/>
      </c>
      <c r="G35" s="3" t="str">
        <f>IF('DATI LOGICI'!G33&lt;&gt;"",'DATI LOGICI'!G33,"")</f>
        <v/>
      </c>
      <c r="H35" s="3" t="str">
        <f>IF('DATI LOGICI'!H33&lt;&gt;"",'DATI LOGICI'!H33,"")</f>
        <v/>
      </c>
      <c r="I35" s="3" t="str">
        <f>IF('DATI LOGICI'!I33&lt;&gt;"",'DATI LOGICI'!I33,"")</f>
        <v/>
      </c>
    </row>
    <row r="36" spans="1:23" x14ac:dyDescent="0.25">
      <c r="A36" s="3" t="str">
        <f>IF('DATI LOGICI'!A34&lt;&gt;"",'DATI LOGICI'!A34,"")</f>
        <v/>
      </c>
      <c r="B36" s="3" t="str">
        <f>IF('DATI LOGICI'!B34&lt;&gt;"",'DATI LOGICI'!B34,"")</f>
        <v/>
      </c>
      <c r="C36" s="3" t="str">
        <f>IF('DATI LOGICI'!C34&lt;&gt;"",'DATI LOGICI'!C34,"")</f>
        <v/>
      </c>
      <c r="D36" s="3" t="str">
        <f>IF('DATI LOGICI'!D34&lt;&gt;"",'DATI LOGICI'!D34,"")</f>
        <v/>
      </c>
      <c r="E36" s="3" t="str">
        <f>IF('DATI LOGICI'!E34&lt;&gt;"",'DATI LOGICI'!E34,"")</f>
        <v/>
      </c>
      <c r="F36" s="3" t="str">
        <f>IF('DATI LOGICI'!F34&lt;&gt;"",'DATI LOGICI'!F34,"")</f>
        <v/>
      </c>
      <c r="G36" s="3" t="str">
        <f>IF('DATI LOGICI'!G34&lt;&gt;"",'DATI LOGICI'!G34,"")</f>
        <v/>
      </c>
      <c r="H36" s="3" t="str">
        <f>IF('DATI LOGICI'!H34&lt;&gt;"",'DATI LOGICI'!H34,"")</f>
        <v/>
      </c>
      <c r="I36" s="3" t="str">
        <f>IF('DATI LOGICI'!I34&lt;&gt;"",'DATI LOGICI'!I34,"")</f>
        <v/>
      </c>
    </row>
    <row r="37" spans="1:23" x14ac:dyDescent="0.25">
      <c r="A37" s="3" t="str">
        <f>IF('DATI LOGICI'!A35&lt;&gt;"",'DATI LOGICI'!A35,"")</f>
        <v/>
      </c>
      <c r="B37" s="3" t="str">
        <f>IF('DATI LOGICI'!B35&lt;&gt;"",'DATI LOGICI'!B35,"")</f>
        <v/>
      </c>
      <c r="C37" s="3" t="str">
        <f>IF('DATI LOGICI'!C35&lt;&gt;"",'DATI LOGICI'!C35,"")</f>
        <v/>
      </c>
      <c r="D37" s="3" t="str">
        <f>IF('DATI LOGICI'!D35&lt;&gt;"",'DATI LOGICI'!D35,"")</f>
        <v/>
      </c>
      <c r="E37" s="3" t="str">
        <f>IF('DATI LOGICI'!E35&lt;&gt;"",'DATI LOGICI'!E35,"")</f>
        <v/>
      </c>
      <c r="F37" s="3" t="str">
        <f>IF('DATI LOGICI'!F35&lt;&gt;"",'DATI LOGICI'!F35,"")</f>
        <v/>
      </c>
      <c r="G37" s="3" t="str">
        <f>IF('DATI LOGICI'!G35&lt;&gt;"",'DATI LOGICI'!G35,"")</f>
        <v/>
      </c>
      <c r="H37" s="3" t="str">
        <f>IF('DATI LOGICI'!H35&lt;&gt;"",'DATI LOGICI'!H35,"")</f>
        <v/>
      </c>
      <c r="I37" s="3" t="str">
        <f>IF('DATI LOGICI'!I35&lt;&gt;"",'DATI LOGICI'!I35,"")</f>
        <v/>
      </c>
    </row>
    <row r="38" spans="1:23" x14ac:dyDescent="0.25">
      <c r="A38" s="3" t="str">
        <f>IF('DATI LOGICI'!A36&lt;&gt;"",'DATI LOGICI'!A36,"")</f>
        <v/>
      </c>
      <c r="B38" s="3" t="str">
        <f>IF('DATI LOGICI'!B36&lt;&gt;"",'DATI LOGICI'!B36,"")</f>
        <v/>
      </c>
      <c r="C38" s="3" t="str">
        <f>IF('DATI LOGICI'!C36&lt;&gt;"",'DATI LOGICI'!C36,"")</f>
        <v/>
      </c>
      <c r="D38" s="3" t="str">
        <f>IF('DATI LOGICI'!D36&lt;&gt;"",'DATI LOGICI'!D36,"")</f>
        <v/>
      </c>
      <c r="E38" s="3" t="str">
        <f>IF('DATI LOGICI'!E36&lt;&gt;"",'DATI LOGICI'!E36,"")</f>
        <v/>
      </c>
      <c r="F38" s="3" t="str">
        <f>IF('DATI LOGICI'!F36&lt;&gt;"",'DATI LOGICI'!F36,"")</f>
        <v/>
      </c>
      <c r="G38" s="3" t="str">
        <f>IF('DATI LOGICI'!G36&lt;&gt;"",'DATI LOGICI'!G36,"")</f>
        <v/>
      </c>
      <c r="H38" s="3" t="str">
        <f>IF('DATI LOGICI'!H36&lt;&gt;"",'DATI LOGICI'!H36,"")</f>
        <v/>
      </c>
      <c r="I38" s="3" t="str">
        <f>IF('DATI LOGICI'!I36&lt;&gt;"",'DATI LOGICI'!I36,"")</f>
        <v/>
      </c>
    </row>
    <row r="39" spans="1:23" x14ac:dyDescent="0.25">
      <c r="A39" s="3" t="str">
        <f>IF('DATI LOGICI'!A37&lt;&gt;"",'DATI LOGICI'!A37,"")</f>
        <v/>
      </c>
      <c r="B39" s="3" t="str">
        <f>IF('DATI LOGICI'!B37&lt;&gt;"",'DATI LOGICI'!B37,"")</f>
        <v/>
      </c>
      <c r="C39" s="3" t="str">
        <f>IF('DATI LOGICI'!C37&lt;&gt;"",'DATI LOGICI'!C37,"")</f>
        <v/>
      </c>
      <c r="D39" s="3" t="str">
        <f>IF('DATI LOGICI'!D37&lt;&gt;"",'DATI LOGICI'!D37,"")</f>
        <v/>
      </c>
      <c r="E39" s="3" t="str">
        <f>IF('DATI LOGICI'!E37&lt;&gt;"",'DATI LOGICI'!E37,"")</f>
        <v/>
      </c>
      <c r="F39" s="3" t="str">
        <f>IF('DATI LOGICI'!F37&lt;&gt;"",'DATI LOGICI'!F37,"")</f>
        <v/>
      </c>
      <c r="G39" s="3" t="str">
        <f>IF('DATI LOGICI'!G37&lt;&gt;"",'DATI LOGICI'!G37,"")</f>
        <v/>
      </c>
      <c r="H39" s="3" t="str">
        <f>IF('DATI LOGICI'!H37&lt;&gt;"",'DATI LOGICI'!H37,"")</f>
        <v/>
      </c>
      <c r="I39" s="3" t="str">
        <f>IF('DATI LOGICI'!I37&lt;&gt;"",'DATI LOGICI'!I37,"")</f>
        <v/>
      </c>
    </row>
    <row r="42" spans="1:23" x14ac:dyDescent="0.25">
      <c r="A42" s="64" t="s">
        <v>521</v>
      </c>
      <c r="B42" s="64"/>
      <c r="C42" s="64"/>
      <c r="D42" s="64"/>
      <c r="E42" s="64"/>
      <c r="F42" s="64"/>
      <c r="G42" s="64"/>
      <c r="H42" s="64"/>
      <c r="I42" s="64"/>
      <c r="J42" s="43"/>
      <c r="K42" s="107"/>
      <c r="L42" s="108"/>
      <c r="M42" s="108"/>
      <c r="N42" s="108"/>
      <c r="O42" s="108"/>
      <c r="P42" s="108"/>
      <c r="Q42" s="108"/>
      <c r="R42" s="108"/>
      <c r="S42" s="108"/>
      <c r="T42" s="108"/>
      <c r="U42" s="108"/>
      <c r="V42" s="108"/>
      <c r="W42" s="108"/>
    </row>
    <row r="43" spans="1:23" ht="60" x14ac:dyDescent="0.25">
      <c r="A43" s="19" t="s">
        <v>458</v>
      </c>
      <c r="B43" s="3">
        <v>80</v>
      </c>
      <c r="C43" s="3">
        <v>0</v>
      </c>
      <c r="D43" s="3" t="s">
        <v>241</v>
      </c>
      <c r="E43" s="3"/>
      <c r="F43" s="3">
        <v>0</v>
      </c>
      <c r="G43" s="3">
        <v>3</v>
      </c>
      <c r="H43" s="3"/>
      <c r="I43" s="3" t="s">
        <v>88</v>
      </c>
      <c r="J43" s="3"/>
      <c r="K43" s="38" t="s">
        <v>637</v>
      </c>
    </row>
    <row r="44" spans="1:23" x14ac:dyDescent="0.25">
      <c r="A44" s="19" t="s">
        <v>459</v>
      </c>
      <c r="B44" s="3">
        <v>80</v>
      </c>
      <c r="C44" s="3">
        <v>1</v>
      </c>
      <c r="D44" s="3" t="s">
        <v>141</v>
      </c>
      <c r="E44" s="3"/>
      <c r="F44" s="3">
        <v>0</v>
      </c>
      <c r="G44" s="3">
        <v>1</v>
      </c>
      <c r="H44" s="3"/>
      <c r="I44" s="3" t="s">
        <v>94</v>
      </c>
      <c r="J44" s="3"/>
      <c r="K44" s="1" t="s">
        <v>638</v>
      </c>
      <c r="L44" s="3"/>
      <c r="M44" s="3"/>
      <c r="N44" s="3"/>
      <c r="O44" s="3"/>
    </row>
    <row r="45" spans="1:23" x14ac:dyDescent="0.25">
      <c r="A45" s="19" t="s">
        <v>460</v>
      </c>
      <c r="B45" s="3">
        <v>80</v>
      </c>
      <c r="C45" s="3">
        <v>2</v>
      </c>
      <c r="D45" s="3" t="s">
        <v>226</v>
      </c>
      <c r="E45" s="3"/>
      <c r="F45" s="3"/>
      <c r="G45" s="3"/>
      <c r="H45" s="3"/>
      <c r="I45" s="3" t="s">
        <v>94</v>
      </c>
      <c r="J45" s="3"/>
      <c r="K45" s="3"/>
    </row>
    <row r="46" spans="1:23" x14ac:dyDescent="0.25">
      <c r="A46" s="19" t="s">
        <v>461</v>
      </c>
      <c r="B46" s="3">
        <v>80</v>
      </c>
      <c r="C46" s="3">
        <v>3</v>
      </c>
      <c r="D46" s="3" t="s">
        <v>226</v>
      </c>
      <c r="E46" s="3"/>
      <c r="F46" s="3"/>
      <c r="G46" s="3"/>
      <c r="H46" s="3"/>
      <c r="I46" s="3" t="s">
        <v>94</v>
      </c>
      <c r="J46" s="3"/>
      <c r="K46" s="3"/>
    </row>
    <row r="47" spans="1:23" x14ac:dyDescent="0.25">
      <c r="A47" s="19" t="s">
        <v>462</v>
      </c>
      <c r="B47" s="3">
        <v>80</v>
      </c>
      <c r="C47" s="3">
        <v>4</v>
      </c>
      <c r="D47" s="3" t="s">
        <v>226</v>
      </c>
      <c r="I47" s="3" t="s">
        <v>94</v>
      </c>
      <c r="J47" s="3"/>
      <c r="K47" s="3"/>
    </row>
    <row r="48" spans="1:23" x14ac:dyDescent="0.25">
      <c r="A48" s="41" t="s">
        <v>463</v>
      </c>
      <c r="B48" s="3">
        <v>80</v>
      </c>
      <c r="C48" s="3">
        <v>5</v>
      </c>
      <c r="D48" s="3" t="s">
        <v>226</v>
      </c>
      <c r="I48" s="3" t="s">
        <v>94</v>
      </c>
      <c r="J48" s="3"/>
    </row>
    <row r="49" spans="1:11" x14ac:dyDescent="0.25">
      <c r="A49" s="41" t="s">
        <v>464</v>
      </c>
      <c r="B49" s="3">
        <v>80</v>
      </c>
      <c r="C49" s="3">
        <v>6</v>
      </c>
      <c r="D49" s="3" t="s">
        <v>226</v>
      </c>
      <c r="I49" s="3" t="s">
        <v>94</v>
      </c>
      <c r="J49" s="3"/>
    </row>
    <row r="50" spans="1:11" x14ac:dyDescent="0.25">
      <c r="A50" s="41" t="s">
        <v>465</v>
      </c>
      <c r="B50" s="3">
        <v>80</v>
      </c>
      <c r="C50" s="3">
        <v>7</v>
      </c>
      <c r="D50" s="3" t="s">
        <v>226</v>
      </c>
      <c r="I50" s="3" t="s">
        <v>94</v>
      </c>
    </row>
    <row r="51" spans="1:11" x14ac:dyDescent="0.25">
      <c r="A51" s="41" t="s">
        <v>470</v>
      </c>
      <c r="B51" s="3">
        <v>80</v>
      </c>
      <c r="C51" s="3">
        <v>8</v>
      </c>
      <c r="D51" s="3" t="s">
        <v>226</v>
      </c>
      <c r="I51" s="3" t="s">
        <v>94</v>
      </c>
    </row>
    <row r="52" spans="1:11" x14ac:dyDescent="0.25">
      <c r="A52" s="41" t="s">
        <v>471</v>
      </c>
      <c r="B52" s="3">
        <v>80</v>
      </c>
      <c r="C52" s="3">
        <v>9</v>
      </c>
      <c r="D52" s="3" t="s">
        <v>226</v>
      </c>
      <c r="I52" s="3" t="s">
        <v>94</v>
      </c>
    </row>
    <row r="53" spans="1:11" x14ac:dyDescent="0.25">
      <c r="A53" s="41" t="s">
        <v>601</v>
      </c>
      <c r="B53" s="3">
        <v>80</v>
      </c>
      <c r="C53" s="3" t="s">
        <v>55</v>
      </c>
      <c r="D53" s="3" t="s">
        <v>141</v>
      </c>
      <c r="F53" s="3">
        <v>0</v>
      </c>
      <c r="G53" s="3">
        <v>1</v>
      </c>
      <c r="I53" s="3" t="s">
        <v>94</v>
      </c>
      <c r="K53" s="1" t="s">
        <v>639</v>
      </c>
    </row>
    <row r="54" spans="1:11" x14ac:dyDescent="0.25">
      <c r="A54" s="41" t="s">
        <v>602</v>
      </c>
      <c r="B54" s="3">
        <v>80</v>
      </c>
      <c r="C54" s="3" t="s">
        <v>57</v>
      </c>
      <c r="D54" s="3" t="s">
        <v>141</v>
      </c>
      <c r="F54" s="3">
        <v>0</v>
      </c>
      <c r="G54" s="3">
        <v>1</v>
      </c>
      <c r="I54" s="3" t="s">
        <v>94</v>
      </c>
      <c r="K54" s="1" t="s">
        <v>639</v>
      </c>
    </row>
    <row r="55" spans="1:11" x14ac:dyDescent="0.25">
      <c r="A55" s="41" t="s">
        <v>452</v>
      </c>
      <c r="B55" s="3">
        <v>80</v>
      </c>
      <c r="C55" s="3" t="s">
        <v>58</v>
      </c>
      <c r="D55" s="3" t="s">
        <v>141</v>
      </c>
      <c r="F55" s="3">
        <v>0</v>
      </c>
      <c r="G55" s="3">
        <v>1</v>
      </c>
    </row>
    <row r="56" spans="1:11" ht="60" x14ac:dyDescent="0.25">
      <c r="A56" s="41" t="s">
        <v>603</v>
      </c>
      <c r="B56" s="3">
        <v>80</v>
      </c>
      <c r="C56" s="3" t="s">
        <v>60</v>
      </c>
      <c r="D56" s="3" t="s">
        <v>138</v>
      </c>
      <c r="K56" s="38" t="s">
        <v>633</v>
      </c>
    </row>
    <row r="57" spans="1:11" ht="30" x14ac:dyDescent="0.25">
      <c r="A57" s="41" t="s">
        <v>604</v>
      </c>
      <c r="B57" s="3">
        <v>80</v>
      </c>
      <c r="C57" s="3" t="s">
        <v>64</v>
      </c>
      <c r="D57" s="3" t="s">
        <v>138</v>
      </c>
      <c r="K57" s="38" t="s">
        <v>626</v>
      </c>
    </row>
    <row r="58" spans="1:11" x14ac:dyDescent="0.25">
      <c r="A58" s="41" t="s">
        <v>605</v>
      </c>
      <c r="B58" s="3">
        <v>80</v>
      </c>
      <c r="C58" s="3" t="s">
        <v>66</v>
      </c>
      <c r="D58" s="3" t="s">
        <v>630</v>
      </c>
    </row>
    <row r="59" spans="1:11" x14ac:dyDescent="0.25">
      <c r="A59" s="41" t="s">
        <v>606</v>
      </c>
      <c r="B59" s="3">
        <v>80</v>
      </c>
      <c r="C59" s="3">
        <v>10</v>
      </c>
      <c r="D59" s="3" t="s">
        <v>630</v>
      </c>
    </row>
    <row r="60" spans="1:11" x14ac:dyDescent="0.25">
      <c r="A60" s="41" t="s">
        <v>607</v>
      </c>
      <c r="B60" s="1">
        <v>80</v>
      </c>
      <c r="C60" s="1">
        <v>11</v>
      </c>
      <c r="D60" s="1" t="s">
        <v>141</v>
      </c>
    </row>
    <row r="61" spans="1:11" ht="105" x14ac:dyDescent="0.25">
      <c r="A61" s="41" t="s">
        <v>610</v>
      </c>
      <c r="B61" s="1">
        <v>80</v>
      </c>
      <c r="C61" s="1">
        <v>12</v>
      </c>
      <c r="D61" s="1" t="s">
        <v>138</v>
      </c>
      <c r="K61" s="38" t="s">
        <v>627</v>
      </c>
    </row>
    <row r="62" spans="1:11" x14ac:dyDescent="0.25">
      <c r="A62" s="41" t="s">
        <v>611</v>
      </c>
      <c r="B62" s="1">
        <v>80</v>
      </c>
      <c r="C62" s="1">
        <v>13</v>
      </c>
      <c r="D62" s="1" t="s">
        <v>132</v>
      </c>
    </row>
    <row r="63" spans="1:11" ht="135" x14ac:dyDescent="0.25">
      <c r="A63" s="3" t="s">
        <v>628</v>
      </c>
      <c r="B63" s="1">
        <v>80</v>
      </c>
      <c r="C63" s="1">
        <v>14</v>
      </c>
      <c r="K63" s="38" t="s">
        <v>629</v>
      </c>
    </row>
  </sheetData>
  <mergeCells count="4">
    <mergeCell ref="A1:J1"/>
    <mergeCell ref="B3:C3"/>
    <mergeCell ref="K4:T4"/>
    <mergeCell ref="K42:W4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7AF7C-EB69-4452-AA24-2BDA63FCA422}">
  <dimension ref="A1:AMM125"/>
  <sheetViews>
    <sheetView zoomScale="98" zoomScaleNormal="100" workbookViewId="0">
      <pane xSplit="1" ySplit="3" topLeftCell="C11" activePane="bottomRight" state="frozen"/>
      <selection pane="topRight" activeCell="B1" sqref="B1"/>
      <selection pane="bottomLeft" activeCell="A4" sqref="A4"/>
      <selection pane="bottomRight" activeCell="D34" sqref="D34"/>
    </sheetView>
  </sheetViews>
  <sheetFormatPr defaultColWidth="8.5703125" defaultRowHeight="15" x14ac:dyDescent="0.25"/>
  <cols>
    <col min="1" max="1" width="43.7109375" style="3" bestFit="1" customWidth="1"/>
    <col min="2" max="2" width="9.28515625" style="1" customWidth="1"/>
    <col min="3" max="3" width="9.5703125" style="1" customWidth="1"/>
    <col min="4" max="4" width="31.42578125" style="1" bestFit="1" customWidth="1"/>
    <col min="5" max="5" width="10.28515625" style="1" bestFit="1" customWidth="1"/>
    <col min="6" max="6" width="9.7109375" style="1" bestFit="1" customWidth="1"/>
    <col min="7" max="7" width="14.7109375" style="1" customWidth="1"/>
    <col min="8" max="8" width="17.5703125" style="1" customWidth="1"/>
    <col min="9" max="9" width="4.7109375" style="1" customWidth="1"/>
    <col min="10" max="10" width="7" style="1" bestFit="1" customWidth="1"/>
    <col min="11" max="11" width="69.5703125" style="3" bestFit="1" customWidth="1"/>
    <col min="12" max="12" width="17" style="1" bestFit="1" customWidth="1"/>
    <col min="13" max="13" width="12.5703125" style="1" bestFit="1" customWidth="1"/>
    <col min="14" max="14" width="14.28515625" style="1" bestFit="1" customWidth="1"/>
    <col min="15" max="15" width="12.7109375" style="1" bestFit="1" customWidth="1"/>
    <col min="16" max="16384" width="8.5703125" style="1"/>
  </cols>
  <sheetData>
    <row r="1" spans="1:20" x14ac:dyDescent="0.25">
      <c r="A1" s="100" t="s">
        <v>780</v>
      </c>
      <c r="B1" s="100"/>
      <c r="C1" s="100"/>
      <c r="D1" s="100"/>
      <c r="E1" s="100"/>
      <c r="F1" s="100"/>
      <c r="G1" s="100"/>
      <c r="H1" s="100"/>
      <c r="I1" s="100"/>
      <c r="J1" s="100"/>
    </row>
    <row r="2" spans="1:20" x14ac:dyDescent="0.25">
      <c r="A2" s="3" t="s">
        <v>903</v>
      </c>
      <c r="J2" s="3"/>
      <c r="K2" s="1"/>
    </row>
    <row r="3" spans="1:20" x14ac:dyDescent="0.25">
      <c r="A3" s="14" t="s">
        <v>904</v>
      </c>
      <c r="B3" s="102" t="s">
        <v>496</v>
      </c>
      <c r="C3" s="103"/>
      <c r="D3" s="2" t="s">
        <v>83</v>
      </c>
      <c r="E3" s="15" t="s">
        <v>84</v>
      </c>
      <c r="F3" s="16" t="s">
        <v>85</v>
      </c>
      <c r="G3" s="16" t="s">
        <v>86</v>
      </c>
      <c r="H3" s="17" t="s">
        <v>87</v>
      </c>
      <c r="I3" s="18" t="s">
        <v>88</v>
      </c>
      <c r="J3" s="44" t="s">
        <v>487</v>
      </c>
      <c r="K3" s="3" t="s">
        <v>135</v>
      </c>
      <c r="L3" s="3" t="s">
        <v>351</v>
      </c>
      <c r="M3" s="3" t="s">
        <v>357</v>
      </c>
      <c r="N3" s="3" t="s">
        <v>352</v>
      </c>
      <c r="O3" s="3" t="s">
        <v>355</v>
      </c>
      <c r="P3" s="3"/>
      <c r="Q3" s="3"/>
      <c r="R3" s="3"/>
      <c r="S3" s="3"/>
      <c r="T3" s="3"/>
    </row>
    <row r="4" spans="1:20" customFormat="1" x14ac:dyDescent="0.25">
      <c r="A4" s="43" t="s">
        <v>89</v>
      </c>
      <c r="B4" s="60"/>
      <c r="C4" s="60"/>
      <c r="D4" s="60"/>
      <c r="E4" s="60"/>
      <c r="F4" s="60"/>
      <c r="G4" s="60"/>
      <c r="H4" s="60"/>
      <c r="I4" s="60"/>
      <c r="J4" s="82"/>
      <c r="K4" s="104"/>
      <c r="L4" s="105"/>
      <c r="M4" s="105"/>
      <c r="N4" s="105"/>
      <c r="O4" s="105"/>
      <c r="P4" s="105"/>
      <c r="Q4" s="105"/>
      <c r="R4" s="105"/>
      <c r="S4" s="105"/>
      <c r="T4" s="106"/>
    </row>
    <row r="5" spans="1:20" customFormat="1" x14ac:dyDescent="0.25">
      <c r="A5" s="41"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c r="L5" s="3"/>
      <c r="M5" s="3"/>
      <c r="N5" s="3"/>
      <c r="O5" s="3"/>
      <c r="P5" s="3"/>
      <c r="Q5" s="3"/>
      <c r="R5" s="3"/>
      <c r="S5" s="3"/>
      <c r="T5" s="3"/>
    </row>
    <row r="6" spans="1:20" customFormat="1" x14ac:dyDescent="0.25">
      <c r="A6" s="41"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3"/>
      <c r="L6" s="3"/>
      <c r="M6" s="3"/>
      <c r="N6" s="3"/>
      <c r="O6" s="3"/>
      <c r="P6" s="3"/>
      <c r="Q6" s="3"/>
      <c r="R6" s="3"/>
      <c r="S6" s="3"/>
      <c r="T6" s="3"/>
    </row>
    <row r="7" spans="1:20" customFormat="1" x14ac:dyDescent="0.25">
      <c r="A7" s="41"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c r="K7" s="3" t="s">
        <v>585</v>
      </c>
      <c r="L7" s="3"/>
      <c r="M7" s="3"/>
      <c r="N7" s="3"/>
      <c r="O7" s="3"/>
      <c r="P7" s="3"/>
      <c r="Q7" s="3"/>
      <c r="R7" s="3"/>
      <c r="S7" s="3"/>
      <c r="T7" s="3"/>
    </row>
    <row r="8" spans="1:20" customFormat="1" x14ac:dyDescent="0.25">
      <c r="A8" s="41"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c r="K8" s="3"/>
      <c r="L8" s="3"/>
      <c r="M8" s="3"/>
      <c r="N8" s="3"/>
      <c r="O8" s="3"/>
      <c r="P8" s="3"/>
      <c r="Q8" s="3"/>
      <c r="R8" s="3"/>
      <c r="S8" s="3"/>
      <c r="T8" s="3"/>
    </row>
    <row r="9" spans="1:20" customFormat="1" x14ac:dyDescent="0.25">
      <c r="A9" s="41"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94</v>
      </c>
      <c r="J9" s="3"/>
      <c r="K9" s="3" t="s">
        <v>586</v>
      </c>
      <c r="L9" s="3"/>
      <c r="M9" s="3"/>
      <c r="N9" s="3"/>
      <c r="O9" s="3"/>
      <c r="P9" s="3"/>
      <c r="Q9" s="3"/>
      <c r="R9" s="3"/>
      <c r="S9" s="3"/>
      <c r="T9" s="3"/>
    </row>
    <row r="10" spans="1:20" customFormat="1" x14ac:dyDescent="0.25">
      <c r="A10" s="46"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3"/>
      <c r="L10" s="3"/>
      <c r="M10" s="3"/>
      <c r="N10" s="3"/>
      <c r="O10" s="3"/>
      <c r="P10" s="3"/>
      <c r="Q10" s="3"/>
      <c r="R10" s="3"/>
      <c r="S10" s="3"/>
      <c r="T10" s="3"/>
    </row>
    <row r="11" spans="1:20" customFormat="1" ht="281.25" x14ac:dyDescent="0.25">
      <c r="A11" s="41"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t="s">
        <v>508</v>
      </c>
      <c r="K11" s="24" t="s">
        <v>905</v>
      </c>
      <c r="L11" s="3"/>
      <c r="M11" s="3"/>
      <c r="N11" s="3"/>
      <c r="O11" s="3"/>
      <c r="P11" s="3"/>
      <c r="Q11" s="3"/>
      <c r="R11" s="3"/>
      <c r="S11" s="3"/>
      <c r="T11" s="3"/>
    </row>
    <row r="12" spans="1:20" customFormat="1" x14ac:dyDescent="0.25">
      <c r="A12" s="46"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3"/>
      <c r="K12" s="3"/>
      <c r="L12" s="3"/>
      <c r="M12" s="3"/>
      <c r="N12" s="3"/>
      <c r="O12" s="3"/>
      <c r="P12" s="3"/>
      <c r="Q12" s="3"/>
      <c r="R12" s="3"/>
      <c r="S12" s="3"/>
      <c r="T12" s="3"/>
    </row>
    <row r="13" spans="1:20" customFormat="1" x14ac:dyDescent="0.25">
      <c r="A13" s="47"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3"/>
      <c r="K13" s="3"/>
      <c r="L13" s="3"/>
      <c r="M13" s="3"/>
      <c r="N13" s="3"/>
      <c r="O13" s="3"/>
      <c r="P13" s="3"/>
      <c r="Q13" s="3"/>
      <c r="R13" s="3"/>
      <c r="S13" s="3"/>
      <c r="T13" s="3"/>
    </row>
    <row r="14" spans="1:20" customFormat="1" x14ac:dyDescent="0.25">
      <c r="A14" s="41"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3"/>
      <c r="K14" s="3" t="s">
        <v>640</v>
      </c>
      <c r="L14" s="3"/>
      <c r="M14" s="3"/>
      <c r="N14" s="3"/>
      <c r="O14" s="3"/>
      <c r="P14" s="3"/>
      <c r="Q14" s="3"/>
      <c r="R14" s="3"/>
      <c r="S14" s="3"/>
      <c r="T14" s="3"/>
    </row>
    <row r="15" spans="1:20" customFormat="1" x14ac:dyDescent="0.25">
      <c r="A15" s="41"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3"/>
      <c r="K15" s="3" t="s">
        <v>641</v>
      </c>
      <c r="L15" s="3"/>
      <c r="M15" s="3"/>
      <c r="N15" s="3"/>
      <c r="O15" s="3"/>
      <c r="P15" s="3"/>
      <c r="Q15" s="3"/>
      <c r="R15" s="3"/>
      <c r="S15" s="3"/>
      <c r="T15" s="3"/>
    </row>
    <row r="16" spans="1:20" customFormat="1" x14ac:dyDescent="0.25">
      <c r="A16" s="41"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3"/>
      <c r="K16" s="3" t="s">
        <v>644</v>
      </c>
      <c r="L16" s="3"/>
      <c r="M16" s="3"/>
      <c r="N16" s="3"/>
      <c r="O16" s="3"/>
      <c r="P16" s="3"/>
      <c r="Q16" s="3"/>
      <c r="R16" s="3"/>
      <c r="S16" s="3"/>
      <c r="T16" s="3"/>
    </row>
    <row r="17" spans="1:20" customFormat="1" x14ac:dyDescent="0.25">
      <c r="A17" s="41"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3"/>
      <c r="K17" s="3" t="s">
        <v>645</v>
      </c>
      <c r="L17" s="3"/>
      <c r="M17" s="3"/>
      <c r="N17" s="3"/>
      <c r="O17" s="3"/>
      <c r="P17" s="3"/>
      <c r="Q17" s="3"/>
      <c r="R17" s="3"/>
      <c r="S17" s="3"/>
      <c r="T17" s="3"/>
    </row>
    <row r="18" spans="1:20" customFormat="1" x14ac:dyDescent="0.25">
      <c r="A18" s="41"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3"/>
      <c r="K18" s="3" t="s">
        <v>646</v>
      </c>
      <c r="L18" s="3"/>
      <c r="M18" s="3"/>
      <c r="N18" s="3"/>
      <c r="O18" s="3"/>
      <c r="P18" s="3"/>
      <c r="Q18" s="3"/>
      <c r="R18" s="3"/>
      <c r="S18" s="3"/>
      <c r="T18" s="3"/>
    </row>
    <row r="19" spans="1:20" customFormat="1" x14ac:dyDescent="0.25">
      <c r="A19" s="41"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3"/>
      <c r="K19" s="3" t="s">
        <v>647</v>
      </c>
      <c r="L19" s="3"/>
      <c r="M19" s="3"/>
      <c r="N19" s="3"/>
      <c r="O19" s="3"/>
      <c r="P19" s="3"/>
      <c r="Q19" s="3"/>
      <c r="R19" s="3"/>
      <c r="S19" s="3"/>
      <c r="T19" s="3"/>
    </row>
    <row r="20" spans="1:20" customFormat="1" x14ac:dyDescent="0.25">
      <c r="A20" s="41"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v>0</v>
      </c>
      <c r="G20" s="3">
        <v>100</v>
      </c>
      <c r="H20" s="3" t="s">
        <v>649</v>
      </c>
      <c r="I20" s="3" t="str">
        <f>IF('DATI LOGICI'!I18&lt;&gt;"",'DATI LOGICI'!I18,"")</f>
        <v>R</v>
      </c>
      <c r="J20" s="3"/>
      <c r="K20" s="3" t="s">
        <v>648</v>
      </c>
      <c r="L20" s="3"/>
      <c r="M20" s="3"/>
      <c r="N20" s="3"/>
      <c r="O20" s="3"/>
      <c r="P20" s="3"/>
      <c r="Q20" s="3"/>
      <c r="R20" s="3"/>
      <c r="S20" s="3"/>
      <c r="T20" s="3"/>
    </row>
    <row r="21" spans="1:20" customFormat="1" x14ac:dyDescent="0.25">
      <c r="A21" s="49"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3"/>
      <c r="K21" s="3"/>
      <c r="L21" s="3"/>
      <c r="M21" s="3"/>
      <c r="N21" s="3"/>
      <c r="O21" s="3"/>
      <c r="P21" s="3"/>
      <c r="Q21" s="3"/>
      <c r="R21" s="3"/>
      <c r="S21" s="3"/>
      <c r="T21" s="3"/>
    </row>
    <row r="22" spans="1:20" customFormat="1" x14ac:dyDescent="0.25">
      <c r="A22" s="49"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3"/>
      <c r="K22" s="3"/>
      <c r="L22" s="3"/>
      <c r="M22" s="3"/>
      <c r="N22" s="3"/>
      <c r="O22" s="3"/>
      <c r="P22" s="3"/>
      <c r="Q22" s="3"/>
      <c r="R22" s="3"/>
      <c r="S22" s="3"/>
      <c r="T22" s="3"/>
    </row>
    <row r="23" spans="1:20" customFormat="1" x14ac:dyDescent="0.25">
      <c r="A23" s="49"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3"/>
      <c r="K23" s="3"/>
      <c r="L23" s="3"/>
      <c r="M23" s="3"/>
      <c r="N23" s="3"/>
      <c r="O23" s="3"/>
      <c r="P23" s="3"/>
      <c r="Q23" s="3"/>
      <c r="R23" s="3"/>
      <c r="S23" s="3"/>
      <c r="T23" s="3"/>
    </row>
    <row r="24" spans="1:20" customFormat="1" x14ac:dyDescent="0.25">
      <c r="A24" s="49"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3"/>
      <c r="K24" s="3"/>
      <c r="L24" s="3"/>
      <c r="M24" s="3"/>
      <c r="N24" s="3"/>
      <c r="O24" s="3"/>
      <c r="P24" s="3"/>
      <c r="Q24" s="3"/>
      <c r="R24" s="3"/>
      <c r="S24" s="3"/>
      <c r="T24" s="3"/>
    </row>
    <row r="25" spans="1:20" customFormat="1" x14ac:dyDescent="0.25">
      <c r="A25" s="49"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3"/>
      <c r="K25" s="3"/>
      <c r="L25" s="3"/>
      <c r="M25" s="3"/>
      <c r="N25" s="3"/>
      <c r="O25" s="3"/>
      <c r="P25" s="3"/>
      <c r="Q25" s="3"/>
      <c r="R25" s="3"/>
      <c r="S25" s="3"/>
      <c r="T25" s="3"/>
    </row>
    <row r="26" spans="1:20" customFormat="1" x14ac:dyDescent="0.25">
      <c r="A26" s="47"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3"/>
      <c r="K26" s="3"/>
      <c r="L26" s="3"/>
      <c r="M26" s="3"/>
      <c r="N26" s="3"/>
      <c r="O26" s="3"/>
      <c r="P26" s="3"/>
      <c r="Q26" s="3"/>
      <c r="R26" s="3"/>
      <c r="S26" s="3"/>
      <c r="T26" s="3"/>
    </row>
    <row r="27" spans="1:20" customFormat="1" x14ac:dyDescent="0.25">
      <c r="A27" s="47"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J27" s="3"/>
      <c r="K27" s="3"/>
      <c r="L27" s="3"/>
      <c r="M27" s="3"/>
      <c r="N27" s="3"/>
      <c r="O27" s="3"/>
      <c r="P27" s="3"/>
      <c r="Q27" s="3"/>
      <c r="R27" s="3"/>
      <c r="S27" s="3"/>
      <c r="T27" s="3"/>
    </row>
    <row r="28" spans="1:20" x14ac:dyDescent="0.25">
      <c r="A28" s="41" t="str">
        <f>IF('DATI LOGICI'!A26&lt;&gt;"",'DATI LOGICI'!A26,"")</f>
        <v>Firmware Bootloader</v>
      </c>
      <c r="B28" s="3">
        <f>IF('DATI LOGICI'!B26&lt;&gt;"",'DATI LOGICI'!B26,"")</f>
        <v>0</v>
      </c>
      <c r="C28" s="3">
        <f>IF('DATI LOGICI'!C26&lt;&gt;"",'DATI LOGICI'!C26,"")</f>
        <v>17</v>
      </c>
      <c r="D28" s="3" t="str">
        <f>IF('DATI LOGICI'!D26&lt;&gt;"",'DATI LOGICI'!D26,"")</f>
        <v xml:space="preserve">uint16_t </v>
      </c>
      <c r="E28" s="3" t="str">
        <f>IF('DATI LOGICI'!E26&lt;&gt;"",'DATI LOGICI'!E26,"")</f>
        <v>255.255</v>
      </c>
      <c r="F28" s="3">
        <f>IF('DATI LOGICI'!F26&lt;&gt;"",'DATI LOGICI'!F26,"")</f>
        <v>0</v>
      </c>
      <c r="G28" s="3" t="str">
        <f>IF('DATI LOGICI'!G26&lt;&gt;"",'DATI LOGICI'!G26,"")</f>
        <v>255.255</v>
      </c>
      <c r="H28" s="3" t="str">
        <f>IF('DATI LOGICI'!H26&lt;&gt;"",'DATI LOGICI'!H26,"")</f>
        <v/>
      </c>
      <c r="I28" s="3" t="str">
        <f>IF('DATI LOGICI'!I26&lt;&gt;"",'DATI LOGICI'!I26,"")</f>
        <v>R</v>
      </c>
      <c r="J28" s="3"/>
      <c r="K28" s="10"/>
      <c r="L28" s="3"/>
      <c r="M28" s="3"/>
      <c r="N28" s="3"/>
      <c r="O28" s="3"/>
      <c r="P28" s="3"/>
      <c r="Q28" s="3"/>
      <c r="R28" s="3"/>
      <c r="S28" s="3"/>
      <c r="T28" s="3"/>
    </row>
    <row r="29" spans="1:20" x14ac:dyDescent="0.25">
      <c r="A29" s="43" t="s">
        <v>906</v>
      </c>
      <c r="B29" s="60"/>
      <c r="C29" s="60"/>
      <c r="D29" s="60"/>
      <c r="E29" s="60"/>
      <c r="F29" s="60"/>
      <c r="G29" s="60"/>
      <c r="H29" s="60"/>
      <c r="I29" s="60"/>
      <c r="J29" s="60"/>
      <c r="K29" s="104"/>
      <c r="L29" s="105"/>
      <c r="M29" s="105"/>
      <c r="N29" s="105"/>
      <c r="O29" s="105"/>
      <c r="P29" s="105"/>
      <c r="Q29" s="105"/>
      <c r="R29" s="105"/>
      <c r="S29" s="105"/>
      <c r="T29" s="106"/>
    </row>
    <row r="30" spans="1:20" ht="30" x14ac:dyDescent="0.25">
      <c r="A30" s="19" t="s">
        <v>781</v>
      </c>
      <c r="B30" s="3">
        <v>80</v>
      </c>
      <c r="C30" s="81" t="str">
        <f>DEC2HEX(0)</f>
        <v>0</v>
      </c>
      <c r="D30" s="3" t="s">
        <v>138</v>
      </c>
      <c r="E30" s="3"/>
      <c r="F30" s="3"/>
      <c r="G30" s="3"/>
      <c r="H30" s="3"/>
      <c r="I30" s="3" t="s">
        <v>104</v>
      </c>
      <c r="J30" s="3"/>
      <c r="K30" s="10" t="s">
        <v>589</v>
      </c>
      <c r="L30" s="3"/>
      <c r="M30" s="3"/>
      <c r="N30" s="3"/>
      <c r="O30" s="3"/>
      <c r="P30" s="3"/>
      <c r="Q30" s="3"/>
      <c r="R30" s="3"/>
      <c r="S30" s="3"/>
      <c r="T30" s="3"/>
    </row>
    <row r="31" spans="1:20" ht="30" x14ac:dyDescent="0.25">
      <c r="A31" s="19" t="s">
        <v>782</v>
      </c>
      <c r="B31" s="3">
        <v>80</v>
      </c>
      <c r="C31" s="81" t="str">
        <f>DEC2HEX(HEX2DEC(C30)+1)</f>
        <v>1</v>
      </c>
      <c r="D31" s="3" t="s">
        <v>138</v>
      </c>
      <c r="E31" s="3"/>
      <c r="F31" s="3"/>
      <c r="G31" s="3"/>
      <c r="H31" s="3"/>
      <c r="I31" s="3" t="s">
        <v>104</v>
      </c>
      <c r="J31" s="3"/>
      <c r="K31" s="10" t="s">
        <v>589</v>
      </c>
      <c r="L31" s="3"/>
      <c r="M31" s="3"/>
      <c r="N31" s="3"/>
      <c r="O31" s="3"/>
      <c r="P31" s="3"/>
      <c r="Q31" s="3"/>
      <c r="R31" s="3"/>
      <c r="S31" s="3"/>
      <c r="T31" s="3"/>
    </row>
    <row r="32" spans="1:20" ht="30" x14ac:dyDescent="0.25">
      <c r="A32" s="19" t="s">
        <v>783</v>
      </c>
      <c r="B32" s="3">
        <v>80</v>
      </c>
      <c r="C32" s="81" t="str">
        <f t="shared" ref="C32:C95" si="0">DEC2HEX(HEX2DEC(C31)+1)</f>
        <v>2</v>
      </c>
      <c r="D32" s="3" t="s">
        <v>138</v>
      </c>
      <c r="E32" s="3"/>
      <c r="F32" s="3"/>
      <c r="G32" s="3"/>
      <c r="H32" s="3"/>
      <c r="I32" s="3" t="s">
        <v>104</v>
      </c>
      <c r="J32" s="3"/>
      <c r="K32" s="10" t="s">
        <v>589</v>
      </c>
      <c r="L32" s="3"/>
      <c r="M32" s="3"/>
      <c r="N32" s="3"/>
      <c r="O32" s="3"/>
      <c r="P32" s="3"/>
      <c r="Q32" s="3"/>
      <c r="R32" s="3"/>
      <c r="S32" s="3"/>
      <c r="T32" s="3"/>
    </row>
    <row r="33" spans="1:1027" x14ac:dyDescent="0.25">
      <c r="A33" s="19" t="s">
        <v>224</v>
      </c>
      <c r="B33" s="3">
        <v>80</v>
      </c>
      <c r="C33" s="81" t="str">
        <f t="shared" si="0"/>
        <v>3</v>
      </c>
      <c r="D33" s="3" t="s">
        <v>141</v>
      </c>
      <c r="E33" s="3"/>
      <c r="F33" s="3">
        <v>0</v>
      </c>
      <c r="G33" s="3">
        <v>1</v>
      </c>
      <c r="H33" s="3"/>
      <c r="I33" s="3" t="s">
        <v>94</v>
      </c>
      <c r="J33" s="3"/>
      <c r="K33" s="3" t="s">
        <v>654</v>
      </c>
      <c r="L33" s="3"/>
      <c r="M33" s="3"/>
      <c r="N33" s="3"/>
      <c r="O33" s="3"/>
      <c r="P33" s="3"/>
      <c r="Q33" s="3"/>
      <c r="R33" s="3"/>
      <c r="S33" s="3"/>
      <c r="T33" s="3"/>
    </row>
    <row r="34" spans="1:1027" x14ac:dyDescent="0.25">
      <c r="A34" s="85" t="s">
        <v>786</v>
      </c>
      <c r="B34" s="3">
        <v>80</v>
      </c>
      <c r="C34" s="81" t="str">
        <f t="shared" si="0"/>
        <v>4</v>
      </c>
      <c r="D34" s="3"/>
      <c r="E34" s="3"/>
      <c r="F34" s="3"/>
      <c r="G34" s="3"/>
      <c r="H34" s="3"/>
      <c r="I34" s="3"/>
      <c r="J34" s="3"/>
      <c r="L34" s="3"/>
    </row>
    <row r="35" spans="1:1027" x14ac:dyDescent="0.25">
      <c r="A35" s="85" t="s">
        <v>786</v>
      </c>
      <c r="B35" s="3">
        <v>80</v>
      </c>
      <c r="C35" s="81" t="str">
        <f t="shared" si="0"/>
        <v>5</v>
      </c>
      <c r="D35" s="3"/>
      <c r="E35" s="3"/>
      <c r="F35" s="3"/>
      <c r="G35" s="3"/>
      <c r="H35" s="3"/>
      <c r="I35" s="3"/>
      <c r="J35" s="3"/>
      <c r="L35" s="3"/>
    </row>
    <row r="36" spans="1:1027" x14ac:dyDescent="0.25">
      <c r="A36" s="85" t="s">
        <v>786</v>
      </c>
      <c r="B36" s="3">
        <v>80</v>
      </c>
      <c r="C36" s="81" t="str">
        <f t="shared" si="0"/>
        <v>6</v>
      </c>
      <c r="D36" s="3" t="s">
        <v>138</v>
      </c>
      <c r="E36" s="3"/>
      <c r="F36" s="3"/>
      <c r="G36" s="3"/>
      <c r="H36" s="3"/>
      <c r="I36" s="3"/>
      <c r="J36" s="3"/>
      <c r="K36" s="3" t="s">
        <v>310</v>
      </c>
      <c r="L36" s="3"/>
      <c r="M36" s="3"/>
      <c r="N36" s="3"/>
      <c r="O36" s="3"/>
      <c r="P36" s="3"/>
      <c r="Q36" s="3"/>
      <c r="R36" s="3"/>
      <c r="S36" s="3"/>
      <c r="T36" s="3"/>
    </row>
    <row r="37" spans="1:1027" x14ac:dyDescent="0.25">
      <c r="A37" s="19" t="s">
        <v>847</v>
      </c>
      <c r="B37" s="3">
        <v>80</v>
      </c>
      <c r="C37" s="81" t="str">
        <f t="shared" si="0"/>
        <v>7</v>
      </c>
      <c r="D37" s="3" t="s">
        <v>241</v>
      </c>
      <c r="F37" s="3">
        <v>0</v>
      </c>
      <c r="G37" s="3">
        <v>65535</v>
      </c>
      <c r="H37" s="3" t="s">
        <v>643</v>
      </c>
      <c r="I37" s="3" t="s">
        <v>88</v>
      </c>
      <c r="K37" s="3" t="s">
        <v>668</v>
      </c>
      <c r="L37" s="3"/>
      <c r="M37" s="3"/>
      <c r="N37" s="3"/>
      <c r="O37" s="3"/>
      <c r="P37" s="3"/>
      <c r="Q37" s="3"/>
      <c r="R37" s="3"/>
      <c r="S37" s="3"/>
      <c r="T37" s="3"/>
    </row>
    <row r="38" spans="1:1027" x14ac:dyDescent="0.25">
      <c r="A38" s="19" t="s">
        <v>846</v>
      </c>
      <c r="B38" s="3">
        <v>80</v>
      </c>
      <c r="C38" s="81" t="str">
        <f t="shared" si="0"/>
        <v>8</v>
      </c>
      <c r="D38" s="3" t="s">
        <v>241</v>
      </c>
      <c r="F38" s="3">
        <v>0</v>
      </c>
      <c r="G38" s="3">
        <v>65535</v>
      </c>
      <c r="H38" s="3" t="s">
        <v>643</v>
      </c>
      <c r="I38" s="3" t="s">
        <v>88</v>
      </c>
      <c r="K38" s="3" t="s">
        <v>667</v>
      </c>
      <c r="L38" s="3"/>
      <c r="M38" s="3"/>
      <c r="N38" s="3"/>
      <c r="O38" s="3"/>
      <c r="P38" s="3"/>
      <c r="Q38" s="3"/>
      <c r="R38" s="3"/>
      <c r="S38" s="3"/>
      <c r="T38" s="3"/>
    </row>
    <row r="39" spans="1:1027" customFormat="1" x14ac:dyDescent="0.25">
      <c r="A39" s="19" t="s">
        <v>664</v>
      </c>
      <c r="B39" s="3">
        <v>80</v>
      </c>
      <c r="C39" s="81" t="str">
        <f t="shared" si="0"/>
        <v>9</v>
      </c>
      <c r="D39" s="3" t="s">
        <v>241</v>
      </c>
      <c r="E39" s="1"/>
      <c r="F39" s="3">
        <v>0</v>
      </c>
      <c r="G39" s="3">
        <v>65535</v>
      </c>
      <c r="H39" s="3" t="s">
        <v>643</v>
      </c>
      <c r="I39" s="3" t="s">
        <v>88</v>
      </c>
      <c r="J39" s="1"/>
      <c r="K39" s="3" t="s">
        <v>668</v>
      </c>
      <c r="L39" s="3"/>
      <c r="M39" s="3"/>
      <c r="N39" s="3"/>
      <c r="O39" s="3"/>
      <c r="P39" s="3"/>
      <c r="Q39" s="3"/>
      <c r="R39" s="3"/>
      <c r="S39" s="3"/>
      <c r="T39" s="3"/>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c r="QF39" s="1"/>
      <c r="QG39" s="1"/>
      <c r="QH39" s="1"/>
      <c r="QI39" s="1"/>
      <c r="QJ39" s="1"/>
      <c r="QK39" s="1"/>
      <c r="QL39" s="1"/>
      <c r="QM39" s="1"/>
      <c r="QN39" s="1"/>
      <c r="QO39" s="1"/>
      <c r="QP39" s="1"/>
      <c r="QQ39" s="1"/>
      <c r="QR39" s="1"/>
      <c r="QS39" s="1"/>
      <c r="QT39" s="1"/>
      <c r="QU39" s="1"/>
      <c r="QV39" s="1"/>
      <c r="QW39" s="1"/>
      <c r="QX39" s="1"/>
      <c r="QY39" s="1"/>
      <c r="QZ39" s="1"/>
      <c r="RA39" s="1"/>
      <c r="RB39" s="1"/>
      <c r="RC39" s="1"/>
      <c r="RD39" s="1"/>
      <c r="RE39" s="1"/>
      <c r="RF39" s="1"/>
      <c r="RG39" s="1"/>
      <c r="RH39" s="1"/>
      <c r="RI39" s="1"/>
      <c r="RJ39" s="1"/>
      <c r="RK39" s="1"/>
      <c r="RL39" s="1"/>
      <c r="RM39" s="1"/>
      <c r="RN39" s="1"/>
      <c r="RO39" s="1"/>
      <c r="RP39" s="1"/>
      <c r="RQ39" s="1"/>
      <c r="RR39" s="1"/>
      <c r="RS39" s="1"/>
      <c r="RT39" s="1"/>
      <c r="RU39" s="1"/>
      <c r="RV39" s="1"/>
      <c r="RW39" s="1"/>
      <c r="RX39" s="1"/>
      <c r="RY39" s="1"/>
      <c r="RZ39" s="1"/>
      <c r="SA39" s="1"/>
      <c r="SB39" s="1"/>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c r="TH39" s="1"/>
      <c r="TI39" s="1"/>
      <c r="TJ39" s="1"/>
      <c r="TK39" s="1"/>
      <c r="TL39" s="1"/>
      <c r="TM39" s="1"/>
      <c r="TN39" s="1"/>
      <c r="TO39" s="1"/>
      <c r="TP39" s="1"/>
      <c r="TQ39" s="1"/>
      <c r="TR39" s="1"/>
      <c r="TS39" s="1"/>
      <c r="TT39" s="1"/>
      <c r="TU39" s="1"/>
      <c r="TV39" s="1"/>
      <c r="TW39" s="1"/>
      <c r="TX39" s="1"/>
      <c r="TY39" s="1"/>
      <c r="TZ39" s="1"/>
      <c r="UA39" s="1"/>
      <c r="UB39" s="1"/>
      <c r="UC39" s="1"/>
      <c r="UD39" s="1"/>
      <c r="UE39" s="1"/>
      <c r="UF39" s="1"/>
      <c r="UG39" s="1"/>
      <c r="UH39" s="1"/>
      <c r="UI39" s="1"/>
      <c r="UJ39" s="1"/>
      <c r="UK39" s="1"/>
      <c r="UL39" s="1"/>
      <c r="UM39" s="1"/>
      <c r="UN39" s="1"/>
      <c r="UO39" s="1"/>
      <c r="UP39" s="1"/>
      <c r="UQ39" s="1"/>
      <c r="UR39" s="1"/>
      <c r="US39" s="1"/>
      <c r="UT39" s="1"/>
      <c r="UU39" s="1"/>
      <c r="UV39" s="1"/>
      <c r="UW39" s="1"/>
      <c r="UX39" s="1"/>
      <c r="UY39" s="1"/>
      <c r="UZ39" s="1"/>
      <c r="VA39" s="1"/>
      <c r="VB39" s="1"/>
      <c r="VC39" s="1"/>
      <c r="VD39" s="1"/>
      <c r="VE39" s="1"/>
      <c r="VF39" s="1"/>
      <c r="VG39" s="1"/>
      <c r="VH39" s="1"/>
      <c r="VI39" s="1"/>
      <c r="VJ39" s="1"/>
      <c r="VK39" s="1"/>
      <c r="VL39" s="1"/>
      <c r="VM39" s="1"/>
      <c r="VN39" s="1"/>
      <c r="VO39" s="1"/>
      <c r="VP39" s="1"/>
      <c r="VQ39" s="1"/>
      <c r="VR39" s="1"/>
      <c r="VS39" s="1"/>
      <c r="VT39" s="1"/>
      <c r="VU39" s="1"/>
      <c r="VV39" s="1"/>
      <c r="VW39" s="1"/>
      <c r="VX39" s="1"/>
      <c r="VY39" s="1"/>
      <c r="VZ39" s="1"/>
      <c r="WA39" s="1"/>
      <c r="WB39" s="1"/>
      <c r="WC39" s="1"/>
      <c r="WD39" s="1"/>
      <c r="WE39" s="1"/>
      <c r="WF39" s="1"/>
      <c r="WG39" s="1"/>
      <c r="WH39" s="1"/>
      <c r="WI39" s="1"/>
      <c r="WJ39" s="1"/>
      <c r="WK39" s="1"/>
      <c r="WL39" s="1"/>
      <c r="WM39" s="1"/>
      <c r="WN39" s="1"/>
      <c r="WO39" s="1"/>
      <c r="WP39" s="1"/>
      <c r="WQ39" s="1"/>
      <c r="WR39" s="1"/>
      <c r="WS39" s="1"/>
      <c r="WT39" s="1"/>
      <c r="WU39" s="1"/>
      <c r="WV39" s="1"/>
      <c r="WW39" s="1"/>
      <c r="WX39" s="1"/>
      <c r="WY39" s="1"/>
      <c r="WZ39" s="1"/>
      <c r="XA39" s="1"/>
      <c r="XB39" s="1"/>
      <c r="XC39" s="1"/>
      <c r="XD39" s="1"/>
      <c r="XE39" s="1"/>
      <c r="XF39" s="1"/>
      <c r="XG39" s="1"/>
      <c r="XH39" s="1"/>
      <c r="XI39" s="1"/>
      <c r="XJ39" s="1"/>
      <c r="XK39" s="1"/>
      <c r="XL39" s="1"/>
      <c r="XM39" s="1"/>
      <c r="XN39" s="1"/>
      <c r="XO39" s="1"/>
      <c r="XP39" s="1"/>
      <c r="XQ39" s="1"/>
      <c r="XR39" s="1"/>
      <c r="XS39" s="1"/>
      <c r="XT39" s="1"/>
      <c r="XU39" s="1"/>
      <c r="XV39" s="1"/>
      <c r="XW39" s="1"/>
      <c r="XX39" s="1"/>
      <c r="XY39" s="1"/>
      <c r="XZ39" s="1"/>
      <c r="YA39" s="1"/>
      <c r="YB39" s="1"/>
      <c r="YC39" s="1"/>
      <c r="YD39" s="1"/>
      <c r="YE39" s="1"/>
      <c r="YF39" s="1"/>
      <c r="YG39" s="1"/>
      <c r="YH39" s="1"/>
      <c r="YI39" s="1"/>
      <c r="YJ39" s="1"/>
      <c r="YK39" s="1"/>
      <c r="YL39" s="1"/>
      <c r="YM39" s="1"/>
      <c r="YN39" s="1"/>
      <c r="YO39" s="1"/>
      <c r="YP39" s="1"/>
      <c r="YQ39" s="1"/>
      <c r="YR39" s="1"/>
      <c r="YS39" s="1"/>
      <c r="YT39" s="1"/>
      <c r="YU39" s="1"/>
      <c r="YV39" s="1"/>
      <c r="YW39" s="1"/>
      <c r="YX39" s="1"/>
      <c r="YY39" s="1"/>
      <c r="YZ39" s="1"/>
      <c r="ZA39" s="1"/>
      <c r="ZB39" s="1"/>
      <c r="ZC39" s="1"/>
      <c r="ZD39" s="1"/>
      <c r="ZE39" s="1"/>
      <c r="ZF39" s="1"/>
      <c r="ZG39" s="1"/>
      <c r="ZH39" s="1"/>
      <c r="ZI39" s="1"/>
      <c r="ZJ39" s="1"/>
      <c r="ZK39" s="1"/>
      <c r="ZL39" s="1"/>
      <c r="ZM39" s="1"/>
      <c r="ZN39" s="1"/>
      <c r="ZO39" s="1"/>
      <c r="ZP39" s="1"/>
      <c r="ZQ39" s="1"/>
      <c r="ZR39" s="1"/>
      <c r="ZS39" s="1"/>
      <c r="ZT39" s="1"/>
      <c r="ZU39" s="1"/>
      <c r="ZV39" s="1"/>
      <c r="ZW39" s="1"/>
      <c r="ZX39" s="1"/>
      <c r="ZY39" s="1"/>
      <c r="ZZ39" s="1"/>
      <c r="AAA39" s="1"/>
      <c r="AAB39" s="1"/>
      <c r="AAC39" s="1"/>
      <c r="AAD39" s="1"/>
      <c r="AAE39" s="1"/>
      <c r="AAF39" s="1"/>
      <c r="AAG39" s="1"/>
      <c r="AAH39" s="1"/>
      <c r="AAI39" s="1"/>
      <c r="AAJ39" s="1"/>
      <c r="AAK39" s="1"/>
      <c r="AAL39" s="1"/>
      <c r="AAM39" s="1"/>
      <c r="AAN39" s="1"/>
      <c r="AAO39" s="1"/>
      <c r="AAP39" s="1"/>
      <c r="AAQ39" s="1"/>
      <c r="AAR39" s="1"/>
      <c r="AAS39" s="1"/>
      <c r="AAT39" s="1"/>
      <c r="AAU39" s="1"/>
      <c r="AAV39" s="1"/>
      <c r="AAW39" s="1"/>
      <c r="AAX39" s="1"/>
      <c r="AAY39" s="1"/>
      <c r="AAZ39" s="1"/>
      <c r="ABA39" s="1"/>
      <c r="ABB39" s="1"/>
      <c r="ABC39" s="1"/>
      <c r="ABD39" s="1"/>
      <c r="ABE39" s="1"/>
      <c r="ABF39" s="1"/>
      <c r="ABG39" s="1"/>
      <c r="ABH39" s="1"/>
      <c r="ABI39" s="1"/>
      <c r="ABJ39" s="1"/>
      <c r="ABK39" s="1"/>
      <c r="ABL39" s="1"/>
      <c r="ABM39" s="1"/>
      <c r="ABN39" s="1"/>
      <c r="ABO39" s="1"/>
      <c r="ABP39" s="1"/>
      <c r="ABQ39" s="1"/>
      <c r="ABR39" s="1"/>
      <c r="ABS39" s="1"/>
      <c r="ABT39" s="1"/>
      <c r="ABU39" s="1"/>
      <c r="ABV39" s="1"/>
      <c r="ABW39" s="1"/>
      <c r="ABX39" s="1"/>
      <c r="ABY39" s="1"/>
      <c r="ABZ39" s="1"/>
      <c r="ACA39" s="1"/>
      <c r="ACB39" s="1"/>
      <c r="ACC39" s="1"/>
      <c r="ACD39" s="1"/>
      <c r="ACE39" s="1"/>
      <c r="ACF39" s="1"/>
      <c r="ACG39" s="1"/>
      <c r="ACH39" s="1"/>
      <c r="ACI39" s="1"/>
      <c r="ACJ39" s="1"/>
      <c r="ACK39" s="1"/>
      <c r="ACL39" s="1"/>
      <c r="ACM39" s="1"/>
      <c r="ACN39" s="1"/>
      <c r="ACO39" s="1"/>
      <c r="ACP39" s="1"/>
      <c r="ACQ39" s="1"/>
      <c r="ACR39" s="1"/>
      <c r="ACS39" s="1"/>
      <c r="ACT39" s="1"/>
      <c r="ACU39" s="1"/>
      <c r="ACV39" s="1"/>
      <c r="ACW39" s="1"/>
      <c r="ACX39" s="1"/>
      <c r="ACY39" s="1"/>
      <c r="ACZ39" s="1"/>
      <c r="ADA39" s="1"/>
      <c r="ADB39" s="1"/>
      <c r="ADC39" s="1"/>
      <c r="ADD39" s="1"/>
      <c r="ADE39" s="1"/>
      <c r="ADF39" s="1"/>
      <c r="ADG39" s="1"/>
      <c r="ADH39" s="1"/>
      <c r="ADI39" s="1"/>
      <c r="ADJ39" s="1"/>
      <c r="ADK39" s="1"/>
      <c r="ADL39" s="1"/>
      <c r="ADM39" s="1"/>
      <c r="ADN39" s="1"/>
      <c r="ADO39" s="1"/>
      <c r="ADP39" s="1"/>
      <c r="ADQ39" s="1"/>
      <c r="ADR39" s="1"/>
      <c r="ADS39" s="1"/>
      <c r="ADT39" s="1"/>
      <c r="ADU39" s="1"/>
      <c r="ADV39" s="1"/>
      <c r="ADW39" s="1"/>
      <c r="ADX39" s="1"/>
      <c r="ADY39" s="1"/>
      <c r="ADZ39" s="1"/>
      <c r="AEA39" s="1"/>
      <c r="AEB39" s="1"/>
      <c r="AEC39" s="1"/>
      <c r="AED39" s="1"/>
      <c r="AEE39" s="1"/>
      <c r="AEF39" s="1"/>
      <c r="AEG39" s="1"/>
      <c r="AEH39" s="1"/>
      <c r="AEI39" s="1"/>
      <c r="AEJ39" s="1"/>
      <c r="AEK39" s="1"/>
      <c r="AEL39" s="1"/>
      <c r="AEM39" s="1"/>
      <c r="AEN39" s="1"/>
      <c r="AEO39" s="1"/>
      <c r="AEP39" s="1"/>
      <c r="AEQ39" s="1"/>
      <c r="AER39" s="1"/>
      <c r="AES39" s="1"/>
      <c r="AET39" s="1"/>
      <c r="AEU39" s="1"/>
      <c r="AEV39" s="1"/>
      <c r="AEW39" s="1"/>
      <c r="AEX39" s="1"/>
      <c r="AEY39" s="1"/>
      <c r="AEZ39" s="1"/>
      <c r="AFA39" s="1"/>
      <c r="AFB39" s="1"/>
      <c r="AFC39" s="1"/>
      <c r="AFD39" s="1"/>
      <c r="AFE39" s="1"/>
      <c r="AFF39" s="1"/>
      <c r="AFG39" s="1"/>
      <c r="AFH39" s="1"/>
      <c r="AFI39" s="1"/>
      <c r="AFJ39" s="1"/>
      <c r="AFK39" s="1"/>
      <c r="AFL39" s="1"/>
      <c r="AFM39" s="1"/>
      <c r="AFN39" s="1"/>
      <c r="AFO39" s="1"/>
      <c r="AFP39" s="1"/>
      <c r="AFQ39" s="1"/>
      <c r="AFR39" s="1"/>
      <c r="AFS39" s="1"/>
      <c r="AFT39" s="1"/>
      <c r="AFU39" s="1"/>
      <c r="AFV39" s="1"/>
      <c r="AFW39" s="1"/>
      <c r="AFX39" s="1"/>
      <c r="AFY39" s="1"/>
      <c r="AFZ39" s="1"/>
      <c r="AGA39" s="1"/>
      <c r="AGB39" s="1"/>
      <c r="AGC39" s="1"/>
      <c r="AGD39" s="1"/>
      <c r="AGE39" s="1"/>
      <c r="AGF39" s="1"/>
      <c r="AGG39" s="1"/>
      <c r="AGH39" s="1"/>
      <c r="AGI39" s="1"/>
      <c r="AGJ39" s="1"/>
      <c r="AGK39" s="1"/>
      <c r="AGL39" s="1"/>
      <c r="AGM39" s="1"/>
      <c r="AGN39" s="1"/>
      <c r="AGO39" s="1"/>
      <c r="AGP39" s="1"/>
      <c r="AGQ39" s="1"/>
      <c r="AGR39" s="1"/>
      <c r="AGS39" s="1"/>
      <c r="AGT39" s="1"/>
      <c r="AGU39" s="1"/>
      <c r="AGV39" s="1"/>
      <c r="AGW39" s="1"/>
      <c r="AGX39" s="1"/>
      <c r="AGY39" s="1"/>
      <c r="AGZ39" s="1"/>
      <c r="AHA39" s="1"/>
      <c r="AHB39" s="1"/>
      <c r="AHC39" s="1"/>
      <c r="AHD39" s="1"/>
      <c r="AHE39" s="1"/>
      <c r="AHF39" s="1"/>
      <c r="AHG39" s="1"/>
      <c r="AHH39" s="1"/>
      <c r="AHI39" s="1"/>
      <c r="AHJ39" s="1"/>
      <c r="AHK39" s="1"/>
      <c r="AHL39" s="1"/>
      <c r="AHM39" s="1"/>
      <c r="AHN39" s="1"/>
      <c r="AHO39" s="1"/>
      <c r="AHP39" s="1"/>
      <c r="AHQ39" s="1"/>
      <c r="AHR39" s="1"/>
      <c r="AHS39" s="1"/>
      <c r="AHT39" s="1"/>
      <c r="AHU39" s="1"/>
      <c r="AHV39" s="1"/>
      <c r="AHW39" s="1"/>
      <c r="AHX39" s="1"/>
      <c r="AHY39" s="1"/>
      <c r="AHZ39" s="1"/>
      <c r="AIA39" s="1"/>
      <c r="AIB39" s="1"/>
      <c r="AIC39" s="1"/>
      <c r="AID39" s="1"/>
      <c r="AIE39" s="1"/>
      <c r="AIF39" s="1"/>
      <c r="AIG39" s="1"/>
      <c r="AIH39" s="1"/>
      <c r="AII39" s="1"/>
      <c r="AIJ39" s="1"/>
      <c r="AIK39" s="1"/>
      <c r="AIL39" s="1"/>
      <c r="AIM39" s="1"/>
      <c r="AIN39" s="1"/>
      <c r="AIO39" s="1"/>
      <c r="AIP39" s="1"/>
      <c r="AIQ39" s="1"/>
      <c r="AIR39" s="1"/>
      <c r="AIS39" s="1"/>
      <c r="AIT39" s="1"/>
      <c r="AIU39" s="1"/>
      <c r="AIV39" s="1"/>
      <c r="AIW39" s="1"/>
      <c r="AIX39" s="1"/>
      <c r="AIY39" s="1"/>
      <c r="AIZ39" s="1"/>
      <c r="AJA39" s="1"/>
      <c r="AJB39" s="1"/>
      <c r="AJC39" s="1"/>
      <c r="AJD39" s="1"/>
      <c r="AJE39" s="1"/>
      <c r="AJF39" s="1"/>
      <c r="AJG39" s="1"/>
      <c r="AJH39" s="1"/>
      <c r="AJI39" s="1"/>
      <c r="AJJ39" s="1"/>
      <c r="AJK39" s="1"/>
      <c r="AJL39" s="1"/>
      <c r="AJM39" s="1"/>
      <c r="AJN39" s="1"/>
      <c r="AJO39" s="1"/>
      <c r="AJP39" s="1"/>
      <c r="AJQ39" s="1"/>
      <c r="AJR39" s="1"/>
      <c r="AJS39" s="1"/>
      <c r="AJT39" s="1"/>
      <c r="AJU39" s="1"/>
      <c r="AJV39" s="1"/>
      <c r="AJW39" s="1"/>
      <c r="AJX39" s="1"/>
      <c r="AJY39" s="1"/>
      <c r="AJZ39" s="1"/>
      <c r="AKA39" s="1"/>
      <c r="AKB39" s="1"/>
      <c r="AKC39" s="1"/>
      <c r="AKD39" s="1"/>
      <c r="AKE39" s="1"/>
      <c r="AKF39" s="1"/>
      <c r="AKG39" s="1"/>
      <c r="AKH39" s="1"/>
      <c r="AKI39" s="1"/>
      <c r="AKJ39" s="1"/>
      <c r="AKK39" s="1"/>
      <c r="AKL39" s="1"/>
      <c r="AKM39" s="1"/>
      <c r="AKN39" s="1"/>
      <c r="AKO39" s="1"/>
      <c r="AKP39" s="1"/>
      <c r="AKQ39" s="1"/>
      <c r="AKR39" s="1"/>
      <c r="AKS39" s="1"/>
      <c r="AKT39" s="1"/>
      <c r="AKU39" s="1"/>
      <c r="AKV39" s="1"/>
      <c r="AKW39" s="1"/>
      <c r="AKX39" s="1"/>
      <c r="AKY39" s="1"/>
      <c r="AKZ39" s="1"/>
      <c r="ALA39" s="1"/>
      <c r="ALB39" s="1"/>
      <c r="ALC39" s="1"/>
      <c r="ALD39" s="1"/>
      <c r="ALE39" s="1"/>
      <c r="ALF39" s="1"/>
      <c r="ALG39" s="1"/>
      <c r="ALH39" s="1"/>
      <c r="ALI39" s="1"/>
      <c r="ALJ39" s="1"/>
      <c r="ALK39" s="1"/>
      <c r="ALL39" s="1"/>
      <c r="ALM39" s="1"/>
      <c r="ALN39" s="1"/>
      <c r="ALO39" s="1"/>
      <c r="ALP39" s="1"/>
      <c r="ALQ39" s="1"/>
      <c r="ALR39" s="1"/>
      <c r="ALS39" s="1"/>
      <c r="ALT39" s="1"/>
      <c r="ALU39" s="1"/>
      <c r="ALV39" s="1"/>
      <c r="ALW39" s="1"/>
      <c r="ALX39" s="1"/>
      <c r="ALY39" s="1"/>
      <c r="ALZ39" s="1"/>
      <c r="AMA39" s="1"/>
      <c r="AMB39" s="1"/>
      <c r="AMC39" s="1"/>
      <c r="AMD39" s="1"/>
      <c r="AME39" s="1"/>
      <c r="AMF39" s="1"/>
      <c r="AMG39" s="1"/>
      <c r="AMH39" s="1"/>
      <c r="AMI39" s="1"/>
      <c r="AMJ39" s="1"/>
      <c r="AMK39" s="1"/>
      <c r="AML39" s="1"/>
      <c r="AMM39" s="1"/>
    </row>
    <row r="40" spans="1:1027" x14ac:dyDescent="0.25">
      <c r="A40" s="19" t="s">
        <v>663</v>
      </c>
      <c r="B40" s="3">
        <v>80</v>
      </c>
      <c r="C40" s="81" t="str">
        <f t="shared" si="0"/>
        <v>A</v>
      </c>
      <c r="D40" s="3" t="s">
        <v>241</v>
      </c>
      <c r="F40" s="3">
        <v>0</v>
      </c>
      <c r="G40" s="3">
        <v>65535</v>
      </c>
      <c r="H40" s="3" t="s">
        <v>643</v>
      </c>
      <c r="I40" s="3" t="s">
        <v>88</v>
      </c>
      <c r="K40" s="3" t="s">
        <v>667</v>
      </c>
      <c r="L40" s="3"/>
      <c r="M40" s="3"/>
      <c r="N40" s="3"/>
      <c r="O40" s="3"/>
      <c r="P40" s="3"/>
      <c r="Q40" s="3"/>
      <c r="R40" s="3"/>
      <c r="S40" s="3"/>
      <c r="T40" s="3"/>
    </row>
    <row r="41" spans="1:1027" x14ac:dyDescent="0.25">
      <c r="A41" s="85" t="s">
        <v>786</v>
      </c>
      <c r="B41" s="3">
        <v>80</v>
      </c>
      <c r="C41" s="81" t="str">
        <f t="shared" si="0"/>
        <v>B</v>
      </c>
      <c r="D41" s="3" t="s">
        <v>226</v>
      </c>
      <c r="E41" s="3"/>
      <c r="F41" s="3">
        <v>-180</v>
      </c>
      <c r="G41" s="3">
        <v>180</v>
      </c>
      <c r="H41" s="3" t="s">
        <v>227</v>
      </c>
      <c r="I41" s="3" t="s">
        <v>94</v>
      </c>
      <c r="J41" s="3"/>
      <c r="L41" s="3"/>
      <c r="M41" s="3"/>
      <c r="N41" s="3"/>
      <c r="O41" s="3"/>
      <c r="P41" s="3"/>
      <c r="Q41" s="3"/>
      <c r="R41" s="3"/>
      <c r="S41" s="3"/>
      <c r="T41" s="3"/>
    </row>
    <row r="42" spans="1:1027" x14ac:dyDescent="0.25">
      <c r="A42" s="85" t="s">
        <v>786</v>
      </c>
      <c r="B42" s="3">
        <v>80</v>
      </c>
      <c r="C42" s="81" t="str">
        <f t="shared" si="0"/>
        <v>C</v>
      </c>
      <c r="D42" s="3" t="s">
        <v>226</v>
      </c>
      <c r="E42" s="3"/>
      <c r="F42" s="3">
        <v>-180</v>
      </c>
      <c r="G42" s="3">
        <v>180</v>
      </c>
      <c r="H42" s="3" t="s">
        <v>227</v>
      </c>
      <c r="I42" s="3" t="s">
        <v>94</v>
      </c>
      <c r="J42" s="3"/>
      <c r="L42" s="3"/>
      <c r="M42" s="3"/>
      <c r="N42" s="3"/>
      <c r="O42" s="3"/>
      <c r="P42" s="3"/>
      <c r="Q42" s="3"/>
      <c r="R42" s="3"/>
      <c r="S42" s="3"/>
      <c r="T42" s="3"/>
    </row>
    <row r="43" spans="1:1027" x14ac:dyDescent="0.25">
      <c r="A43" s="85" t="s">
        <v>786</v>
      </c>
      <c r="B43" s="3">
        <v>80</v>
      </c>
      <c r="C43" s="81" t="str">
        <f t="shared" si="0"/>
        <v>D</v>
      </c>
      <c r="D43" s="3" t="s">
        <v>226</v>
      </c>
      <c r="E43" s="3"/>
      <c r="F43" s="3">
        <v>-180</v>
      </c>
      <c r="G43" s="3">
        <v>180</v>
      </c>
      <c r="H43" s="3" t="s">
        <v>227</v>
      </c>
      <c r="I43" s="3" t="s">
        <v>94</v>
      </c>
      <c r="J43" s="3"/>
      <c r="L43" s="3"/>
      <c r="M43" s="3"/>
      <c r="N43" s="3"/>
      <c r="O43" s="3"/>
      <c r="P43" s="3"/>
      <c r="Q43" s="3"/>
      <c r="R43" s="3"/>
      <c r="S43" s="3"/>
      <c r="T43" s="3"/>
    </row>
    <row r="44" spans="1:1027" x14ac:dyDescent="0.25">
      <c r="A44" s="85" t="s">
        <v>786</v>
      </c>
      <c r="B44" s="3">
        <v>80</v>
      </c>
      <c r="C44" s="81" t="str">
        <f t="shared" si="0"/>
        <v>E</v>
      </c>
      <c r="D44" s="3" t="s">
        <v>226</v>
      </c>
      <c r="E44" s="3"/>
      <c r="F44" s="3"/>
      <c r="G44" s="3"/>
      <c r="H44" s="3"/>
      <c r="I44" s="3" t="s">
        <v>94</v>
      </c>
      <c r="J44" s="3"/>
      <c r="L44" s="3"/>
      <c r="M44" s="3"/>
      <c r="N44" s="3"/>
      <c r="O44" s="3"/>
      <c r="P44" s="3"/>
      <c r="Q44" s="3"/>
      <c r="R44" s="3"/>
      <c r="S44" s="3"/>
      <c r="T44" s="3"/>
    </row>
    <row r="45" spans="1:1027" x14ac:dyDescent="0.25">
      <c r="A45" s="85" t="s">
        <v>786</v>
      </c>
      <c r="B45" s="3">
        <v>80</v>
      </c>
      <c r="C45" s="81" t="str">
        <f t="shared" si="0"/>
        <v>F</v>
      </c>
      <c r="D45" s="3" t="s">
        <v>226</v>
      </c>
      <c r="E45" s="3"/>
      <c r="F45" s="3"/>
      <c r="G45" s="3"/>
      <c r="H45" s="3"/>
      <c r="I45" s="3" t="s">
        <v>94</v>
      </c>
      <c r="J45" s="3"/>
      <c r="L45" s="3"/>
      <c r="M45" s="3"/>
      <c r="N45" s="3"/>
      <c r="O45" s="3"/>
      <c r="P45" s="3"/>
      <c r="Q45" s="3"/>
      <c r="R45" s="3"/>
      <c r="S45" s="3"/>
      <c r="T45" s="3"/>
    </row>
    <row r="46" spans="1:1027" x14ac:dyDescent="0.25">
      <c r="A46" s="85" t="s">
        <v>786</v>
      </c>
      <c r="B46" s="3">
        <v>80</v>
      </c>
      <c r="C46" s="81" t="str">
        <f t="shared" si="0"/>
        <v>10</v>
      </c>
      <c r="D46" s="3" t="s">
        <v>226</v>
      </c>
      <c r="E46" s="3"/>
      <c r="F46" s="3"/>
      <c r="G46" s="3"/>
      <c r="H46" s="3"/>
      <c r="I46" s="3" t="s">
        <v>94</v>
      </c>
      <c r="J46" s="3"/>
      <c r="L46" s="3"/>
      <c r="M46" s="3"/>
      <c r="N46" s="3"/>
      <c r="O46" s="3"/>
      <c r="P46" s="3"/>
      <c r="Q46" s="3"/>
      <c r="R46" s="3"/>
      <c r="S46" s="3"/>
      <c r="T46" s="3"/>
    </row>
    <row r="47" spans="1:1027" x14ac:dyDescent="0.25">
      <c r="A47" s="41" t="s">
        <v>634</v>
      </c>
      <c r="B47" s="3">
        <v>80</v>
      </c>
      <c r="C47" s="81" t="str">
        <f t="shared" si="0"/>
        <v>11</v>
      </c>
      <c r="D47" s="3" t="s">
        <v>138</v>
      </c>
      <c r="E47" s="3"/>
      <c r="F47" s="3">
        <v>0</v>
      </c>
      <c r="G47" s="3">
        <v>3</v>
      </c>
      <c r="H47" s="3"/>
      <c r="I47" s="3" t="s">
        <v>94</v>
      </c>
      <c r="J47" s="3"/>
      <c r="K47" s="3" t="s">
        <v>635</v>
      </c>
      <c r="L47" s="3"/>
      <c r="M47" s="3"/>
      <c r="N47" s="3"/>
      <c r="O47" s="3"/>
      <c r="P47" s="3"/>
      <c r="Q47" s="3"/>
      <c r="R47" s="3"/>
      <c r="S47" s="3"/>
      <c r="T47" s="3"/>
    </row>
    <row r="48" spans="1:1027" x14ac:dyDescent="0.25">
      <c r="A48" s="85" t="s">
        <v>786</v>
      </c>
      <c r="B48" s="3">
        <v>80</v>
      </c>
      <c r="C48" s="81" t="str">
        <f t="shared" si="0"/>
        <v>12</v>
      </c>
      <c r="D48" s="3"/>
      <c r="E48" s="3"/>
      <c r="F48" s="3"/>
      <c r="G48" s="3"/>
      <c r="H48" s="3"/>
      <c r="I48" s="3" t="s">
        <v>94</v>
      </c>
      <c r="J48" s="3"/>
      <c r="L48" s="3"/>
      <c r="M48" s="3"/>
      <c r="N48" s="3"/>
      <c r="O48" s="3"/>
      <c r="P48" s="3"/>
      <c r="Q48" s="3"/>
      <c r="R48" s="3"/>
      <c r="S48" s="3"/>
      <c r="T48" s="3"/>
    </row>
    <row r="49" spans="1:20" x14ac:dyDescent="0.25">
      <c r="A49" s="41" t="s">
        <v>907</v>
      </c>
      <c r="B49" s="3">
        <v>80</v>
      </c>
      <c r="C49" s="81" t="str">
        <f t="shared" si="0"/>
        <v>13</v>
      </c>
      <c r="D49" s="3" t="s">
        <v>141</v>
      </c>
      <c r="E49" s="3"/>
      <c r="F49" s="3">
        <v>0</v>
      </c>
      <c r="G49" s="3">
        <v>1</v>
      </c>
      <c r="H49" s="3"/>
      <c r="I49" s="3" t="s">
        <v>94</v>
      </c>
      <c r="J49" s="3"/>
      <c r="L49" s="3"/>
      <c r="M49" s="3"/>
      <c r="N49" s="3"/>
      <c r="O49" s="3"/>
      <c r="P49" s="3"/>
      <c r="Q49" s="3"/>
      <c r="R49" s="3"/>
      <c r="S49" s="3"/>
      <c r="T49" s="3"/>
    </row>
    <row r="50" spans="1:20" x14ac:dyDescent="0.25">
      <c r="A50" s="85" t="s">
        <v>786</v>
      </c>
      <c r="B50" s="3">
        <v>80</v>
      </c>
      <c r="C50" s="81" t="str">
        <f t="shared" si="0"/>
        <v>14</v>
      </c>
      <c r="D50" s="3" t="s">
        <v>141</v>
      </c>
      <c r="E50" s="3"/>
      <c r="F50" s="3">
        <v>0</v>
      </c>
      <c r="G50" s="3">
        <v>1</v>
      </c>
      <c r="H50" s="3"/>
      <c r="I50" s="3" t="s">
        <v>94</v>
      </c>
      <c r="J50" s="3"/>
      <c r="L50" s="3"/>
      <c r="M50" s="3"/>
      <c r="N50" s="3"/>
      <c r="O50" s="3"/>
      <c r="P50" s="3"/>
      <c r="Q50" s="3"/>
      <c r="R50" s="3"/>
      <c r="S50" s="3"/>
      <c r="T50" s="3"/>
    </row>
    <row r="51" spans="1:20" x14ac:dyDescent="0.25">
      <c r="A51" s="41" t="s">
        <v>509</v>
      </c>
      <c r="B51" s="3">
        <v>80</v>
      </c>
      <c r="C51" s="81" t="str">
        <f t="shared" si="0"/>
        <v>15</v>
      </c>
      <c r="D51" s="3" t="s">
        <v>138</v>
      </c>
      <c r="E51" s="3"/>
      <c r="F51" s="3">
        <v>0</v>
      </c>
      <c r="G51" s="3">
        <v>2</v>
      </c>
      <c r="H51" s="3"/>
      <c r="I51" s="3" t="s">
        <v>94</v>
      </c>
      <c r="J51" s="3"/>
      <c r="K51" s="3" t="s">
        <v>510</v>
      </c>
      <c r="L51" s="3"/>
      <c r="M51" s="3"/>
      <c r="N51" s="3"/>
      <c r="O51" s="3"/>
      <c r="P51" s="3"/>
      <c r="Q51" s="3"/>
      <c r="R51" s="3"/>
      <c r="S51" s="3"/>
      <c r="T51" s="3"/>
    </row>
    <row r="52" spans="1:20" x14ac:dyDescent="0.25">
      <c r="A52" s="25" t="s">
        <v>581</v>
      </c>
      <c r="B52" s="3">
        <v>80</v>
      </c>
      <c r="C52" s="81" t="str">
        <f t="shared" si="0"/>
        <v>16</v>
      </c>
      <c r="D52" s="3" t="s">
        <v>129</v>
      </c>
      <c r="E52" s="3"/>
      <c r="F52" s="3"/>
      <c r="G52" s="3"/>
      <c r="H52" s="3"/>
      <c r="I52" s="3"/>
      <c r="J52" s="3"/>
      <c r="L52" s="3"/>
      <c r="M52" s="3"/>
      <c r="N52" s="3"/>
      <c r="O52" s="3"/>
      <c r="P52" s="3"/>
      <c r="Q52" s="3"/>
      <c r="R52" s="3"/>
      <c r="S52" s="3"/>
      <c r="T52" s="3"/>
    </row>
    <row r="53" spans="1:20" x14ac:dyDescent="0.25">
      <c r="A53" s="25" t="s">
        <v>580</v>
      </c>
      <c r="B53" s="3">
        <v>80</v>
      </c>
      <c r="C53" s="81" t="str">
        <f t="shared" si="0"/>
        <v>17</v>
      </c>
      <c r="D53" s="3" t="s">
        <v>129</v>
      </c>
      <c r="E53" s="3"/>
      <c r="F53" s="3"/>
      <c r="G53" s="3"/>
      <c r="H53" s="3"/>
      <c r="I53" s="3"/>
      <c r="J53" s="3"/>
      <c r="L53" s="3"/>
      <c r="M53" s="3"/>
      <c r="N53" s="3"/>
      <c r="O53" s="3"/>
      <c r="P53" s="3"/>
      <c r="Q53" s="3"/>
      <c r="R53" s="3"/>
      <c r="S53" s="3"/>
      <c r="T53" s="3"/>
    </row>
    <row r="54" spans="1:20" x14ac:dyDescent="0.25">
      <c r="A54" s="25" t="s">
        <v>582</v>
      </c>
      <c r="B54" s="3">
        <v>80</v>
      </c>
      <c r="C54" s="81" t="str">
        <f t="shared" si="0"/>
        <v>18</v>
      </c>
      <c r="D54" s="3" t="s">
        <v>129</v>
      </c>
      <c r="E54" s="3"/>
      <c r="F54" s="3"/>
      <c r="G54" s="3"/>
      <c r="H54" s="3"/>
      <c r="I54" s="3"/>
      <c r="J54" s="3"/>
      <c r="L54" s="3"/>
      <c r="M54" s="3"/>
      <c r="N54" s="3"/>
      <c r="O54" s="3"/>
      <c r="P54" s="3"/>
      <c r="Q54" s="3"/>
      <c r="R54" s="3"/>
      <c r="S54" s="3"/>
      <c r="T54" s="3"/>
    </row>
    <row r="55" spans="1:20" x14ac:dyDescent="0.25">
      <c r="A55" s="25" t="s">
        <v>583</v>
      </c>
      <c r="B55" s="3">
        <v>80</v>
      </c>
      <c r="C55" s="81" t="str">
        <f t="shared" si="0"/>
        <v>19</v>
      </c>
      <c r="D55" s="3" t="s">
        <v>129</v>
      </c>
      <c r="E55" s="3"/>
      <c r="F55" s="3"/>
      <c r="G55" s="3"/>
      <c r="H55" s="3"/>
      <c r="I55" s="3"/>
      <c r="J55" s="3"/>
      <c r="L55" s="3"/>
      <c r="M55" s="3"/>
      <c r="N55" s="3"/>
      <c r="O55" s="3"/>
      <c r="P55" s="3"/>
      <c r="Q55" s="3"/>
      <c r="R55" s="3"/>
      <c r="S55" s="3"/>
      <c r="T55" s="3"/>
    </row>
    <row r="56" spans="1:20" x14ac:dyDescent="0.25">
      <c r="A56" s="41" t="s">
        <v>795</v>
      </c>
      <c r="B56" s="3">
        <v>80</v>
      </c>
      <c r="C56" s="81" t="str">
        <f t="shared" si="0"/>
        <v>1A</v>
      </c>
      <c r="D56" s="3" t="s">
        <v>138</v>
      </c>
      <c r="E56" s="3"/>
      <c r="F56" s="3">
        <v>0</v>
      </c>
      <c r="G56" s="3">
        <v>2</v>
      </c>
      <c r="H56" s="3"/>
      <c r="I56" s="3" t="s">
        <v>94</v>
      </c>
      <c r="J56" s="3"/>
      <c r="K56" s="3" t="s">
        <v>510</v>
      </c>
      <c r="L56" s="3"/>
      <c r="M56" s="3"/>
      <c r="N56" s="3"/>
      <c r="O56" s="3"/>
      <c r="P56" s="3"/>
      <c r="Q56" s="3"/>
      <c r="R56" s="3"/>
      <c r="S56" s="3"/>
      <c r="T56" s="3"/>
    </row>
    <row r="57" spans="1:20" x14ac:dyDescent="0.25">
      <c r="A57" s="25" t="s">
        <v>538</v>
      </c>
      <c r="B57" s="3">
        <v>80</v>
      </c>
      <c r="C57" s="81" t="str">
        <f t="shared" si="0"/>
        <v>1B</v>
      </c>
      <c r="D57" s="3" t="s">
        <v>129</v>
      </c>
      <c r="E57" s="3"/>
      <c r="F57" s="3"/>
      <c r="G57" s="3"/>
      <c r="H57" s="3"/>
      <c r="I57" s="3"/>
      <c r="J57" s="3"/>
      <c r="L57" s="3"/>
      <c r="M57" s="3"/>
      <c r="N57" s="3"/>
      <c r="O57" s="3"/>
      <c r="P57" s="3"/>
      <c r="Q57" s="3"/>
      <c r="R57" s="3"/>
      <c r="S57" s="3"/>
      <c r="T57" s="3"/>
    </row>
    <row r="58" spans="1:20" x14ac:dyDescent="0.25">
      <c r="A58" s="25" t="s">
        <v>539</v>
      </c>
      <c r="B58" s="3">
        <v>80</v>
      </c>
      <c r="C58" s="81" t="str">
        <f t="shared" si="0"/>
        <v>1C</v>
      </c>
      <c r="D58" s="3"/>
      <c r="E58" s="3"/>
      <c r="F58" s="3"/>
      <c r="G58" s="3"/>
      <c r="H58" s="3"/>
      <c r="I58" s="3"/>
      <c r="J58" s="3"/>
      <c r="L58" s="3"/>
      <c r="M58" s="3"/>
      <c r="N58" s="3"/>
      <c r="O58" s="3"/>
      <c r="P58" s="3"/>
      <c r="Q58" s="3"/>
      <c r="R58" s="3"/>
      <c r="S58" s="3"/>
      <c r="T58" s="3"/>
    </row>
    <row r="59" spans="1:20" x14ac:dyDescent="0.25">
      <c r="A59" s="25" t="s">
        <v>540</v>
      </c>
      <c r="B59" s="3">
        <v>80</v>
      </c>
      <c r="C59" s="81" t="str">
        <f t="shared" si="0"/>
        <v>1D</v>
      </c>
      <c r="D59" s="3"/>
      <c r="E59" s="3"/>
      <c r="F59" s="3"/>
      <c r="G59" s="3"/>
      <c r="H59" s="3"/>
      <c r="I59" s="3"/>
      <c r="J59" s="3"/>
      <c r="L59" s="3"/>
      <c r="M59" s="3"/>
      <c r="N59" s="3"/>
      <c r="O59" s="3"/>
      <c r="P59" s="3"/>
      <c r="Q59" s="3"/>
      <c r="R59" s="3"/>
      <c r="S59" s="3"/>
      <c r="T59" s="3"/>
    </row>
    <row r="60" spans="1:20" x14ac:dyDescent="0.25">
      <c r="A60" s="41" t="s">
        <v>796</v>
      </c>
      <c r="B60" s="3">
        <v>80</v>
      </c>
      <c r="C60" s="81" t="str">
        <f t="shared" si="0"/>
        <v>1E</v>
      </c>
      <c r="D60" s="3" t="s">
        <v>138</v>
      </c>
      <c r="E60" s="3"/>
      <c r="F60" s="3">
        <v>0</v>
      </c>
      <c r="G60" s="3">
        <v>2</v>
      </c>
      <c r="H60" s="3"/>
      <c r="I60" s="3" t="s">
        <v>94</v>
      </c>
      <c r="J60" s="3"/>
      <c r="K60" s="3" t="s">
        <v>510</v>
      </c>
      <c r="L60" s="3"/>
      <c r="M60" s="3"/>
      <c r="N60" s="3"/>
      <c r="O60" s="3"/>
      <c r="P60" s="3"/>
      <c r="Q60" s="3"/>
      <c r="R60" s="3"/>
      <c r="S60" s="3"/>
      <c r="T60" s="3"/>
    </row>
    <row r="61" spans="1:20" x14ac:dyDescent="0.25">
      <c r="A61" s="25" t="s">
        <v>551</v>
      </c>
      <c r="B61" s="3">
        <v>80</v>
      </c>
      <c r="C61" s="81" t="str">
        <f t="shared" si="0"/>
        <v>1F</v>
      </c>
      <c r="D61" s="3" t="s">
        <v>129</v>
      </c>
      <c r="E61" s="3"/>
      <c r="F61" s="3"/>
      <c r="G61" s="3"/>
      <c r="H61" s="3"/>
      <c r="I61" s="3"/>
      <c r="J61" s="3"/>
      <c r="L61" s="3"/>
      <c r="M61" s="3"/>
      <c r="N61" s="3"/>
      <c r="O61" s="3"/>
      <c r="P61" s="3"/>
      <c r="Q61" s="3"/>
      <c r="R61" s="3"/>
      <c r="S61" s="3"/>
      <c r="T61" s="3"/>
    </row>
    <row r="62" spans="1:20" x14ac:dyDescent="0.25">
      <c r="A62" s="25" t="s">
        <v>552</v>
      </c>
      <c r="B62" s="3">
        <v>80</v>
      </c>
      <c r="C62" s="81" t="str">
        <f t="shared" si="0"/>
        <v>20</v>
      </c>
      <c r="D62" s="3"/>
      <c r="E62" s="3"/>
      <c r="F62" s="3"/>
      <c r="G62" s="3"/>
      <c r="H62" s="3"/>
      <c r="I62" s="3"/>
      <c r="J62" s="3"/>
      <c r="L62" s="3"/>
      <c r="M62" s="3"/>
      <c r="N62" s="3"/>
      <c r="O62" s="3"/>
      <c r="P62" s="3"/>
      <c r="Q62" s="3"/>
      <c r="R62" s="3"/>
      <c r="S62" s="3"/>
      <c r="T62" s="3"/>
    </row>
    <row r="63" spans="1:20" x14ac:dyDescent="0.25">
      <c r="A63" s="25" t="s">
        <v>553</v>
      </c>
      <c r="B63" s="3">
        <v>80</v>
      </c>
      <c r="C63" s="81" t="str">
        <f t="shared" si="0"/>
        <v>21</v>
      </c>
      <c r="D63" s="3"/>
      <c r="E63" s="3"/>
      <c r="F63" s="3"/>
      <c r="G63" s="3"/>
      <c r="H63" s="3"/>
      <c r="I63" s="3"/>
      <c r="J63" s="3"/>
      <c r="L63" s="3"/>
      <c r="M63" s="3"/>
      <c r="N63" s="3"/>
      <c r="O63" s="3"/>
      <c r="P63" s="3"/>
      <c r="Q63" s="3"/>
      <c r="R63" s="3"/>
      <c r="S63" s="3"/>
      <c r="T63" s="3"/>
    </row>
    <row r="64" spans="1:20" x14ac:dyDescent="0.25">
      <c r="A64" s="85" t="s">
        <v>786</v>
      </c>
      <c r="B64" s="3">
        <v>80</v>
      </c>
      <c r="C64" s="81" t="str">
        <f t="shared" si="0"/>
        <v>22</v>
      </c>
      <c r="D64" s="3" t="s">
        <v>138</v>
      </c>
      <c r="E64" s="3"/>
      <c r="F64" s="3">
        <v>0</v>
      </c>
      <c r="G64" s="3">
        <v>2</v>
      </c>
      <c r="H64" s="3"/>
      <c r="I64" s="3" t="s">
        <v>94</v>
      </c>
      <c r="J64" s="3"/>
      <c r="K64" s="3" t="s">
        <v>510</v>
      </c>
      <c r="L64" s="3"/>
      <c r="M64" s="3"/>
      <c r="N64" s="3"/>
      <c r="O64" s="3"/>
      <c r="P64" s="3"/>
      <c r="Q64" s="3"/>
      <c r="R64" s="3"/>
      <c r="S64" s="3"/>
      <c r="T64" s="3"/>
    </row>
    <row r="65" spans="1:20" x14ac:dyDescent="0.25">
      <c r="A65" s="25" t="s">
        <v>554</v>
      </c>
      <c r="B65" s="3">
        <v>80</v>
      </c>
      <c r="C65" s="81" t="str">
        <f t="shared" si="0"/>
        <v>23</v>
      </c>
      <c r="D65" s="3" t="s">
        <v>129</v>
      </c>
      <c r="E65" s="3"/>
      <c r="F65" s="3"/>
      <c r="G65" s="3"/>
      <c r="H65" s="3"/>
      <c r="I65" s="3"/>
      <c r="J65" s="3"/>
      <c r="L65" s="3"/>
      <c r="M65" s="3"/>
      <c r="N65" s="3"/>
      <c r="O65" s="3"/>
      <c r="P65" s="3"/>
      <c r="Q65" s="3"/>
      <c r="R65" s="3"/>
      <c r="S65" s="3"/>
      <c r="T65" s="3"/>
    </row>
    <row r="66" spans="1:20" x14ac:dyDescent="0.25">
      <c r="A66" s="25" t="s">
        <v>555</v>
      </c>
      <c r="B66" s="3">
        <v>80</v>
      </c>
      <c r="C66" s="81" t="str">
        <f t="shared" si="0"/>
        <v>24</v>
      </c>
      <c r="D66" s="3"/>
      <c r="E66" s="3"/>
      <c r="F66" s="3"/>
      <c r="G66" s="3"/>
      <c r="H66" s="3"/>
      <c r="I66" s="3"/>
      <c r="J66" s="3"/>
      <c r="L66" s="3"/>
      <c r="M66" s="3"/>
      <c r="N66" s="3"/>
      <c r="O66" s="3"/>
      <c r="P66" s="3"/>
      <c r="Q66" s="3"/>
      <c r="R66" s="3"/>
      <c r="S66" s="3"/>
      <c r="T66" s="3"/>
    </row>
    <row r="67" spans="1:20" x14ac:dyDescent="0.25">
      <c r="A67" s="25" t="s">
        <v>556</v>
      </c>
      <c r="B67" s="3">
        <v>80</v>
      </c>
      <c r="C67" s="81" t="str">
        <f t="shared" si="0"/>
        <v>25</v>
      </c>
      <c r="D67" s="3"/>
      <c r="E67" s="3"/>
      <c r="F67" s="3"/>
      <c r="G67" s="3"/>
      <c r="H67" s="3"/>
      <c r="I67" s="3"/>
      <c r="J67" s="3"/>
      <c r="L67" s="3"/>
      <c r="M67" s="3"/>
      <c r="N67" s="3"/>
      <c r="O67" s="3"/>
      <c r="P67" s="3"/>
      <c r="Q67" s="3"/>
      <c r="R67" s="3"/>
      <c r="S67" s="3"/>
      <c r="T67" s="3"/>
    </row>
    <row r="68" spans="1:20" x14ac:dyDescent="0.25">
      <c r="A68" s="85" t="s">
        <v>786</v>
      </c>
      <c r="B68" s="3">
        <v>80</v>
      </c>
      <c r="C68" s="81" t="str">
        <f t="shared" si="0"/>
        <v>26</v>
      </c>
      <c r="D68" s="3" t="s">
        <v>138</v>
      </c>
      <c r="E68" s="3"/>
      <c r="F68" s="3">
        <v>0</v>
      </c>
      <c r="G68" s="3">
        <v>2</v>
      </c>
      <c r="H68" s="3"/>
      <c r="I68" s="3" t="s">
        <v>94</v>
      </c>
      <c r="J68" s="3"/>
      <c r="K68" s="3" t="s">
        <v>510</v>
      </c>
      <c r="L68" s="3"/>
      <c r="M68" s="3"/>
      <c r="N68" s="3"/>
      <c r="O68" s="3"/>
      <c r="P68" s="3"/>
      <c r="Q68" s="3"/>
      <c r="R68" s="3"/>
      <c r="S68" s="3"/>
      <c r="T68" s="3"/>
    </row>
    <row r="69" spans="1:20" x14ac:dyDescent="0.25">
      <c r="A69" s="25" t="s">
        <v>557</v>
      </c>
      <c r="B69" s="3">
        <v>80</v>
      </c>
      <c r="C69" s="81" t="str">
        <f t="shared" si="0"/>
        <v>27</v>
      </c>
      <c r="D69" s="3" t="s">
        <v>129</v>
      </c>
      <c r="E69" s="3"/>
      <c r="F69" s="3"/>
      <c r="G69" s="3"/>
      <c r="H69" s="3"/>
      <c r="I69" s="3"/>
      <c r="J69" s="3"/>
      <c r="L69" s="3"/>
      <c r="M69" s="3"/>
      <c r="N69" s="3"/>
      <c r="O69" s="3"/>
      <c r="P69" s="3"/>
      <c r="Q69" s="3"/>
      <c r="R69" s="3"/>
      <c r="S69" s="3"/>
      <c r="T69" s="3"/>
    </row>
    <row r="70" spans="1:20" x14ac:dyDescent="0.25">
      <c r="A70" s="25" t="s">
        <v>558</v>
      </c>
      <c r="B70" s="3">
        <v>80</v>
      </c>
      <c r="C70" s="81" t="str">
        <f t="shared" si="0"/>
        <v>28</v>
      </c>
      <c r="D70" s="3"/>
      <c r="E70" s="3"/>
      <c r="F70" s="3"/>
      <c r="G70" s="3"/>
      <c r="H70" s="3"/>
      <c r="I70" s="3"/>
      <c r="J70" s="3"/>
      <c r="L70" s="3"/>
      <c r="M70" s="3"/>
      <c r="N70" s="3"/>
      <c r="O70" s="3"/>
      <c r="P70" s="3"/>
      <c r="Q70" s="3"/>
      <c r="R70" s="3"/>
      <c r="S70" s="3"/>
      <c r="T70" s="3"/>
    </row>
    <row r="71" spans="1:20" x14ac:dyDescent="0.25">
      <c r="A71" s="25" t="s">
        <v>559</v>
      </c>
      <c r="B71" s="3">
        <v>80</v>
      </c>
      <c r="C71" s="81" t="str">
        <f t="shared" si="0"/>
        <v>29</v>
      </c>
      <c r="D71" s="3"/>
      <c r="E71" s="3"/>
      <c r="F71" s="3"/>
      <c r="G71" s="3"/>
      <c r="H71" s="3"/>
      <c r="I71" s="3"/>
      <c r="J71" s="3"/>
      <c r="L71" s="3"/>
      <c r="M71" s="3"/>
      <c r="N71" s="3"/>
      <c r="O71" s="3"/>
      <c r="P71" s="3"/>
      <c r="Q71" s="3"/>
      <c r="R71" s="3"/>
      <c r="S71" s="3"/>
      <c r="T71" s="3"/>
    </row>
    <row r="72" spans="1:20" x14ac:dyDescent="0.25">
      <c r="A72" s="19" t="s">
        <v>844</v>
      </c>
      <c r="B72" s="3">
        <v>80</v>
      </c>
      <c r="C72" s="81" t="str">
        <f t="shared" si="0"/>
        <v>2A</v>
      </c>
      <c r="D72" s="3" t="s">
        <v>129</v>
      </c>
      <c r="F72" s="3">
        <v>0</v>
      </c>
      <c r="G72" s="3">
        <v>6000</v>
      </c>
      <c r="H72" s="3" t="s">
        <v>643</v>
      </c>
      <c r="I72" s="3" t="s">
        <v>88</v>
      </c>
      <c r="K72" s="3" t="s">
        <v>845</v>
      </c>
      <c r="L72" s="3"/>
      <c r="M72" s="3"/>
      <c r="N72" s="3"/>
      <c r="O72" s="3"/>
      <c r="P72" s="3"/>
      <c r="Q72" s="3"/>
      <c r="R72" s="3"/>
      <c r="S72" s="3"/>
      <c r="T72" s="3"/>
    </row>
    <row r="73" spans="1:20" x14ac:dyDescent="0.25">
      <c r="A73" s="46" t="s">
        <v>347</v>
      </c>
      <c r="B73" s="3">
        <v>80</v>
      </c>
      <c r="C73" s="81" t="str">
        <f t="shared" si="0"/>
        <v>2B</v>
      </c>
      <c r="D73" s="3"/>
      <c r="E73" s="3"/>
      <c r="F73" s="3"/>
      <c r="G73" s="3"/>
      <c r="H73" s="3"/>
      <c r="I73" s="3"/>
      <c r="J73" s="3"/>
      <c r="L73" s="3"/>
      <c r="M73" s="3"/>
      <c r="N73" s="3"/>
      <c r="O73" s="3"/>
      <c r="P73" s="3"/>
      <c r="Q73" s="3"/>
      <c r="R73" s="3"/>
      <c r="S73" s="3"/>
      <c r="T73" s="3"/>
    </row>
    <row r="74" spans="1:20" x14ac:dyDescent="0.25">
      <c r="A74" s="46" t="s">
        <v>347</v>
      </c>
      <c r="B74" s="3">
        <v>80</v>
      </c>
      <c r="C74" s="81" t="str">
        <f t="shared" si="0"/>
        <v>2C</v>
      </c>
      <c r="D74" s="3"/>
      <c r="E74" s="3"/>
      <c r="F74" s="3"/>
      <c r="G74" s="3"/>
      <c r="H74" s="3"/>
      <c r="I74" s="3"/>
      <c r="J74" s="3"/>
      <c r="L74" s="3"/>
      <c r="M74" s="3"/>
      <c r="N74" s="3"/>
      <c r="O74" s="3"/>
      <c r="P74" s="3"/>
      <c r="Q74" s="3"/>
      <c r="R74" s="3"/>
      <c r="S74" s="3"/>
      <c r="T74" s="3"/>
    </row>
    <row r="75" spans="1:20" x14ac:dyDescent="0.25">
      <c r="A75" s="46" t="s">
        <v>347</v>
      </c>
      <c r="B75" s="3">
        <v>80</v>
      </c>
      <c r="C75" s="81" t="str">
        <f t="shared" si="0"/>
        <v>2D</v>
      </c>
      <c r="D75" s="3"/>
      <c r="E75" s="3"/>
      <c r="F75" s="3"/>
      <c r="G75" s="3"/>
      <c r="H75" s="3"/>
      <c r="I75" s="3"/>
      <c r="J75" s="3"/>
      <c r="L75" s="3"/>
      <c r="M75" s="3"/>
      <c r="N75" s="3"/>
      <c r="O75" s="3"/>
      <c r="P75" s="3"/>
      <c r="Q75" s="3"/>
      <c r="R75" s="3"/>
      <c r="S75" s="3"/>
      <c r="T75" s="3"/>
    </row>
    <row r="76" spans="1:20" x14ac:dyDescent="0.25">
      <c r="A76" s="46" t="s">
        <v>347</v>
      </c>
      <c r="B76" s="3">
        <v>80</v>
      </c>
      <c r="C76" s="81" t="str">
        <f t="shared" si="0"/>
        <v>2E</v>
      </c>
      <c r="D76" s="3"/>
      <c r="E76" s="3"/>
      <c r="F76" s="3"/>
      <c r="G76" s="3"/>
      <c r="H76" s="3"/>
      <c r="I76" s="3"/>
      <c r="J76" s="3"/>
      <c r="L76" s="3"/>
      <c r="M76" s="3"/>
      <c r="N76" s="3"/>
      <c r="O76" s="3"/>
      <c r="P76" s="3"/>
      <c r="Q76" s="3"/>
      <c r="R76" s="3"/>
      <c r="S76" s="3"/>
      <c r="T76" s="3"/>
    </row>
    <row r="77" spans="1:20" x14ac:dyDescent="0.25">
      <c r="A77" s="46" t="s">
        <v>347</v>
      </c>
      <c r="B77" s="3">
        <v>80</v>
      </c>
      <c r="C77" s="81" t="str">
        <f t="shared" si="0"/>
        <v>2F</v>
      </c>
      <c r="D77" s="3"/>
      <c r="E77" s="3"/>
      <c r="F77" s="3"/>
      <c r="G77" s="3"/>
      <c r="H77" s="3"/>
      <c r="I77" s="3"/>
      <c r="J77" s="3"/>
      <c r="L77" s="3"/>
      <c r="M77" s="3"/>
      <c r="N77" s="3"/>
      <c r="O77" s="3"/>
      <c r="P77" s="3"/>
      <c r="Q77" s="3"/>
      <c r="R77" s="3"/>
      <c r="S77" s="3"/>
      <c r="T77" s="3"/>
    </row>
    <row r="78" spans="1:20" x14ac:dyDescent="0.25">
      <c r="A78" s="46" t="s">
        <v>347</v>
      </c>
      <c r="B78" s="3">
        <v>80</v>
      </c>
      <c r="C78" s="81" t="str">
        <f t="shared" si="0"/>
        <v>30</v>
      </c>
      <c r="D78" s="3"/>
      <c r="E78" s="3"/>
      <c r="F78" s="3"/>
      <c r="G78" s="3"/>
      <c r="H78" s="3"/>
      <c r="I78" s="3"/>
      <c r="J78" s="3"/>
      <c r="L78" s="3"/>
      <c r="M78" s="3"/>
      <c r="N78" s="3"/>
      <c r="O78" s="3"/>
      <c r="P78" s="3"/>
      <c r="Q78" s="3"/>
      <c r="R78" s="3"/>
      <c r="S78" s="3"/>
      <c r="T78" s="3"/>
    </row>
    <row r="79" spans="1:20" x14ac:dyDescent="0.25">
      <c r="A79" s="46" t="s">
        <v>347</v>
      </c>
      <c r="B79" s="3">
        <v>80</v>
      </c>
      <c r="C79" s="81" t="str">
        <f t="shared" si="0"/>
        <v>31</v>
      </c>
      <c r="D79" s="3"/>
      <c r="E79" s="3"/>
      <c r="F79" s="3"/>
      <c r="G79" s="3"/>
      <c r="H79" s="3"/>
      <c r="I79" s="3"/>
      <c r="J79" s="3"/>
      <c r="L79" s="3"/>
      <c r="M79" s="3"/>
      <c r="N79" s="3"/>
      <c r="O79" s="3"/>
      <c r="P79" s="3"/>
      <c r="Q79" s="3"/>
      <c r="R79" s="3"/>
      <c r="S79" s="3"/>
      <c r="T79" s="3"/>
    </row>
    <row r="80" spans="1:20" x14ac:dyDescent="0.25">
      <c r="A80" s="46" t="s">
        <v>347</v>
      </c>
      <c r="B80" s="3">
        <v>80</v>
      </c>
      <c r="C80" s="81" t="str">
        <f t="shared" si="0"/>
        <v>32</v>
      </c>
      <c r="D80" s="3"/>
      <c r="E80" s="3"/>
      <c r="F80" s="3"/>
      <c r="G80" s="3"/>
      <c r="H80" s="3"/>
      <c r="I80" s="3"/>
      <c r="J80" s="3"/>
      <c r="L80" s="3"/>
      <c r="M80" s="3"/>
      <c r="N80" s="3"/>
      <c r="O80" s="3"/>
      <c r="P80" s="3"/>
      <c r="Q80" s="3"/>
      <c r="R80" s="3"/>
      <c r="S80" s="3"/>
      <c r="T80" s="3"/>
    </row>
    <row r="81" spans="1:20" x14ac:dyDescent="0.25">
      <c r="A81" s="46" t="s">
        <v>347</v>
      </c>
      <c r="B81" s="3">
        <v>80</v>
      </c>
      <c r="C81" s="81" t="str">
        <f t="shared" si="0"/>
        <v>33</v>
      </c>
      <c r="D81" s="3"/>
      <c r="E81" s="3"/>
      <c r="F81" s="3"/>
      <c r="G81" s="3"/>
      <c r="H81" s="3"/>
      <c r="I81" s="3"/>
      <c r="J81" s="3"/>
      <c r="L81" s="3"/>
      <c r="M81" s="3"/>
      <c r="N81" s="3"/>
      <c r="O81" s="3"/>
      <c r="P81" s="3"/>
      <c r="Q81" s="3"/>
      <c r="R81" s="3"/>
      <c r="S81" s="3"/>
      <c r="T81" s="3"/>
    </row>
    <row r="82" spans="1:20" x14ac:dyDescent="0.25">
      <c r="A82" s="46" t="s">
        <v>347</v>
      </c>
      <c r="B82" s="3">
        <v>80</v>
      </c>
      <c r="C82" s="81" t="str">
        <f t="shared" si="0"/>
        <v>34</v>
      </c>
      <c r="D82" s="3"/>
      <c r="E82" s="3"/>
      <c r="F82" s="3"/>
      <c r="G82" s="3"/>
      <c r="H82" s="3"/>
      <c r="I82" s="3"/>
      <c r="J82" s="3"/>
      <c r="L82" s="3"/>
      <c r="M82" s="3"/>
      <c r="N82" s="3"/>
      <c r="O82" s="3"/>
      <c r="P82" s="3"/>
      <c r="Q82" s="3"/>
      <c r="R82" s="3"/>
      <c r="S82" s="3"/>
      <c r="T82" s="3"/>
    </row>
    <row r="83" spans="1:20" x14ac:dyDescent="0.25">
      <c r="A83" s="46" t="s">
        <v>347</v>
      </c>
      <c r="B83" s="3">
        <v>80</v>
      </c>
      <c r="C83" s="81" t="str">
        <f t="shared" si="0"/>
        <v>35</v>
      </c>
      <c r="D83" s="3"/>
      <c r="E83" s="3"/>
      <c r="F83" s="3"/>
      <c r="G83" s="3"/>
      <c r="H83" s="3"/>
      <c r="I83" s="3"/>
      <c r="J83" s="3"/>
      <c r="L83" s="3"/>
      <c r="M83" s="3"/>
      <c r="N83" s="3"/>
      <c r="O83" s="3"/>
      <c r="P83" s="3"/>
      <c r="Q83" s="3"/>
      <c r="R83" s="3"/>
      <c r="S83" s="3"/>
      <c r="T83" s="3"/>
    </row>
    <row r="84" spans="1:20" x14ac:dyDescent="0.25">
      <c r="A84" s="46" t="s">
        <v>347</v>
      </c>
      <c r="B84" s="3">
        <v>80</v>
      </c>
      <c r="C84" s="81" t="str">
        <f t="shared" si="0"/>
        <v>36</v>
      </c>
      <c r="D84" s="3"/>
      <c r="E84" s="3"/>
      <c r="F84" s="3"/>
      <c r="G84" s="3"/>
      <c r="H84" s="3"/>
      <c r="I84" s="3"/>
      <c r="J84" s="3"/>
      <c r="L84" s="3"/>
      <c r="M84" s="3"/>
      <c r="N84" s="3"/>
      <c r="O84" s="3"/>
      <c r="P84" s="3"/>
      <c r="Q84" s="3"/>
      <c r="R84" s="3"/>
      <c r="S84" s="3"/>
      <c r="T84" s="3"/>
    </row>
    <row r="85" spans="1:20" x14ac:dyDescent="0.25">
      <c r="A85" s="46" t="s">
        <v>347</v>
      </c>
      <c r="B85" s="3">
        <v>80</v>
      </c>
      <c r="C85" s="81" t="str">
        <f t="shared" si="0"/>
        <v>37</v>
      </c>
      <c r="D85" s="3"/>
      <c r="E85" s="3"/>
      <c r="F85" s="3"/>
      <c r="G85" s="3"/>
      <c r="H85" s="3"/>
      <c r="I85" s="3"/>
      <c r="J85" s="3"/>
      <c r="L85" s="3"/>
      <c r="M85" s="3"/>
      <c r="N85" s="3"/>
      <c r="O85" s="3"/>
      <c r="P85" s="3"/>
      <c r="Q85" s="3"/>
      <c r="R85" s="3"/>
      <c r="S85" s="3"/>
      <c r="T85" s="3"/>
    </row>
    <row r="86" spans="1:20" x14ac:dyDescent="0.25">
      <c r="A86" s="46" t="s">
        <v>347</v>
      </c>
      <c r="B86" s="3">
        <v>80</v>
      </c>
      <c r="C86" s="81" t="str">
        <f t="shared" si="0"/>
        <v>38</v>
      </c>
      <c r="D86" s="3"/>
      <c r="E86" s="3"/>
      <c r="F86" s="3"/>
      <c r="G86" s="3"/>
      <c r="H86" s="3"/>
      <c r="I86" s="3"/>
      <c r="J86" s="3"/>
      <c r="L86" s="3"/>
      <c r="M86" s="3"/>
      <c r="N86" s="3"/>
      <c r="O86" s="3"/>
      <c r="P86" s="3"/>
      <c r="Q86" s="3"/>
      <c r="R86" s="3"/>
      <c r="S86" s="3"/>
      <c r="T86" s="3"/>
    </row>
    <row r="87" spans="1:20" x14ac:dyDescent="0.25">
      <c r="A87" s="46" t="s">
        <v>347</v>
      </c>
      <c r="B87" s="3">
        <v>80</v>
      </c>
      <c r="C87" s="81" t="str">
        <f t="shared" si="0"/>
        <v>39</v>
      </c>
      <c r="D87" s="3"/>
      <c r="E87" s="3"/>
      <c r="F87" s="3"/>
      <c r="G87" s="3"/>
      <c r="H87" s="3"/>
      <c r="I87" s="3"/>
      <c r="J87" s="3"/>
      <c r="L87" s="3"/>
      <c r="M87" s="3"/>
      <c r="N87" s="3"/>
      <c r="O87" s="3"/>
      <c r="P87" s="3"/>
      <c r="Q87" s="3"/>
      <c r="R87" s="3"/>
      <c r="S87" s="3"/>
      <c r="T87" s="3"/>
    </row>
    <row r="88" spans="1:20" x14ac:dyDescent="0.25">
      <c r="A88" s="46" t="s">
        <v>347</v>
      </c>
      <c r="B88" s="3">
        <v>80</v>
      </c>
      <c r="C88" s="81" t="str">
        <f t="shared" si="0"/>
        <v>3A</v>
      </c>
      <c r="D88" s="3"/>
      <c r="E88" s="3"/>
      <c r="F88" s="3"/>
      <c r="G88" s="3"/>
      <c r="H88" s="3"/>
      <c r="I88" s="3"/>
      <c r="J88" s="3"/>
      <c r="L88" s="3"/>
      <c r="M88" s="3"/>
      <c r="N88" s="3"/>
      <c r="O88" s="3"/>
      <c r="P88" s="3"/>
      <c r="Q88" s="3"/>
      <c r="R88" s="3"/>
      <c r="S88" s="3"/>
      <c r="T88" s="3"/>
    </row>
    <row r="89" spans="1:20" x14ac:dyDescent="0.25">
      <c r="A89" s="46" t="s">
        <v>347</v>
      </c>
      <c r="B89" s="3">
        <v>80</v>
      </c>
      <c r="C89" s="81" t="str">
        <f t="shared" si="0"/>
        <v>3B</v>
      </c>
      <c r="D89" s="3"/>
      <c r="E89" s="3"/>
      <c r="F89" s="3"/>
      <c r="G89" s="3"/>
      <c r="H89" s="3"/>
      <c r="I89" s="3"/>
      <c r="J89" s="3"/>
      <c r="L89" s="3"/>
      <c r="M89" s="3"/>
      <c r="N89" s="3"/>
      <c r="O89" s="3"/>
      <c r="P89" s="3"/>
      <c r="Q89" s="3"/>
      <c r="R89" s="3"/>
      <c r="S89" s="3"/>
      <c r="T89" s="3"/>
    </row>
    <row r="90" spans="1:20" x14ac:dyDescent="0.25">
      <c r="A90" s="46" t="s">
        <v>347</v>
      </c>
      <c r="B90" s="3">
        <v>80</v>
      </c>
      <c r="C90" s="81" t="str">
        <f t="shared" si="0"/>
        <v>3C</v>
      </c>
      <c r="D90" s="3"/>
      <c r="E90" s="3"/>
      <c r="F90" s="3"/>
      <c r="G90" s="3"/>
      <c r="H90" s="3"/>
      <c r="I90" s="3"/>
      <c r="J90" s="3"/>
      <c r="L90" s="3"/>
      <c r="M90" s="3"/>
      <c r="N90" s="3"/>
      <c r="O90" s="3"/>
      <c r="P90" s="3"/>
      <c r="Q90" s="3"/>
      <c r="R90" s="3"/>
      <c r="S90" s="3"/>
      <c r="T90" s="3"/>
    </row>
    <row r="91" spans="1:20" x14ac:dyDescent="0.25">
      <c r="A91" s="46" t="s">
        <v>347</v>
      </c>
      <c r="B91" s="3">
        <v>80</v>
      </c>
      <c r="C91" s="81" t="str">
        <f t="shared" si="0"/>
        <v>3D</v>
      </c>
      <c r="D91" s="3"/>
      <c r="E91" s="3"/>
      <c r="F91" s="3"/>
      <c r="G91" s="3"/>
      <c r="H91" s="3"/>
      <c r="I91" s="3"/>
      <c r="J91" s="3"/>
      <c r="L91" s="3"/>
      <c r="M91" s="3"/>
      <c r="N91" s="3"/>
      <c r="O91" s="3"/>
      <c r="P91" s="3"/>
      <c r="Q91" s="3"/>
      <c r="R91" s="3"/>
      <c r="S91" s="3"/>
      <c r="T91" s="3"/>
    </row>
    <row r="92" spans="1:20" x14ac:dyDescent="0.25">
      <c r="A92" s="46" t="s">
        <v>347</v>
      </c>
      <c r="B92" s="3">
        <v>80</v>
      </c>
      <c r="C92" s="81" t="str">
        <f t="shared" si="0"/>
        <v>3E</v>
      </c>
      <c r="D92" s="3"/>
      <c r="E92" s="3"/>
      <c r="F92" s="3"/>
      <c r="G92" s="3"/>
      <c r="H92" s="3"/>
      <c r="I92" s="3"/>
      <c r="J92" s="3"/>
      <c r="L92" s="3"/>
      <c r="M92" s="3"/>
      <c r="N92" s="3"/>
      <c r="O92" s="3"/>
      <c r="P92" s="3"/>
      <c r="Q92" s="3"/>
      <c r="R92" s="3"/>
      <c r="S92" s="3"/>
      <c r="T92" s="3"/>
    </row>
    <row r="93" spans="1:20" x14ac:dyDescent="0.25">
      <c r="A93" s="46" t="s">
        <v>347</v>
      </c>
      <c r="B93" s="3">
        <v>80</v>
      </c>
      <c r="C93" s="81" t="str">
        <f t="shared" si="0"/>
        <v>3F</v>
      </c>
      <c r="D93" s="3"/>
      <c r="E93" s="3"/>
      <c r="F93" s="3"/>
      <c r="G93" s="3"/>
      <c r="H93" s="3"/>
      <c r="I93" s="3"/>
      <c r="J93" s="3"/>
      <c r="L93" s="3"/>
      <c r="M93" s="3"/>
      <c r="N93" s="3"/>
      <c r="O93" s="3"/>
      <c r="P93" s="3"/>
      <c r="Q93" s="3"/>
      <c r="R93" s="3"/>
      <c r="S93" s="3"/>
      <c r="T93" s="3"/>
    </row>
    <row r="94" spans="1:20" x14ac:dyDescent="0.25">
      <c r="A94" s="46" t="s">
        <v>347</v>
      </c>
      <c r="B94" s="3">
        <v>80</v>
      </c>
      <c r="C94" s="81" t="str">
        <f t="shared" si="0"/>
        <v>40</v>
      </c>
      <c r="D94" s="3"/>
      <c r="E94" s="3"/>
      <c r="F94" s="3"/>
      <c r="G94" s="3"/>
      <c r="H94" s="3"/>
      <c r="I94" s="3"/>
      <c r="J94" s="3"/>
      <c r="L94" s="3"/>
      <c r="M94" s="3"/>
      <c r="N94" s="3"/>
      <c r="O94" s="3"/>
      <c r="P94" s="3"/>
      <c r="Q94" s="3"/>
      <c r="R94" s="3"/>
      <c r="S94" s="3"/>
      <c r="T94" s="3"/>
    </row>
    <row r="95" spans="1:20" x14ac:dyDescent="0.25">
      <c r="A95" s="46" t="s">
        <v>347</v>
      </c>
      <c r="B95" s="3">
        <v>80</v>
      </c>
      <c r="C95" s="81" t="str">
        <f t="shared" si="0"/>
        <v>41</v>
      </c>
      <c r="D95" s="3"/>
      <c r="E95" s="3"/>
      <c r="F95" s="3"/>
      <c r="G95" s="3"/>
      <c r="H95" s="3"/>
      <c r="I95" s="3"/>
      <c r="J95" s="3"/>
      <c r="L95" s="3"/>
      <c r="M95" s="3"/>
      <c r="N95" s="3"/>
      <c r="O95" s="3"/>
      <c r="P95" s="3"/>
      <c r="Q95" s="3"/>
      <c r="R95" s="3"/>
      <c r="S95" s="3"/>
      <c r="T95" s="3"/>
    </row>
    <row r="96" spans="1:20" x14ac:dyDescent="0.25">
      <c r="A96" s="54" t="s">
        <v>168</v>
      </c>
      <c r="B96" s="3">
        <v>80</v>
      </c>
      <c r="C96" s="81" t="str">
        <f t="shared" ref="C96:C125" si="1">DEC2HEX(HEX2DEC(C95)+1)</f>
        <v>42</v>
      </c>
      <c r="D96" s="3" t="s">
        <v>241</v>
      </c>
      <c r="E96" s="3"/>
      <c r="F96" s="3"/>
      <c r="G96" s="3"/>
      <c r="H96" s="3"/>
      <c r="I96" s="3"/>
      <c r="J96" s="3"/>
      <c r="L96" s="3"/>
      <c r="M96" s="3"/>
      <c r="N96" s="3"/>
      <c r="O96" s="3"/>
      <c r="P96" s="3"/>
      <c r="Q96" s="3"/>
      <c r="R96" s="3"/>
      <c r="S96" s="3"/>
      <c r="T96" s="3"/>
    </row>
    <row r="97" spans="1:20" x14ac:dyDescent="0.25">
      <c r="A97" s="41" t="s">
        <v>584</v>
      </c>
      <c r="B97" s="3">
        <v>80</v>
      </c>
      <c r="C97" s="81" t="str">
        <f t="shared" si="1"/>
        <v>43</v>
      </c>
      <c r="D97" s="3" t="s">
        <v>138</v>
      </c>
      <c r="E97" s="3"/>
      <c r="F97" s="3">
        <v>0</v>
      </c>
      <c r="G97" s="3">
        <v>7</v>
      </c>
      <c r="H97" s="3"/>
      <c r="I97" s="3" t="s">
        <v>94</v>
      </c>
      <c r="J97" s="3"/>
      <c r="K97" s="3" t="s">
        <v>591</v>
      </c>
      <c r="L97" s="3"/>
      <c r="M97" s="3"/>
      <c r="N97" s="3"/>
      <c r="O97" s="3"/>
      <c r="P97" s="3"/>
      <c r="Q97" s="3"/>
      <c r="R97" s="3"/>
      <c r="S97" s="3"/>
      <c r="T97" s="3"/>
    </row>
    <row r="98" spans="1:20" x14ac:dyDescent="0.25">
      <c r="A98" s="47" t="s">
        <v>578</v>
      </c>
      <c r="B98" s="3">
        <v>80</v>
      </c>
      <c r="C98" s="81" t="str">
        <f t="shared" si="1"/>
        <v>44</v>
      </c>
      <c r="D98" s="3"/>
      <c r="E98" s="3"/>
      <c r="F98" s="3"/>
      <c r="G98" s="3"/>
      <c r="H98" s="3"/>
      <c r="I98" s="3"/>
      <c r="J98" s="3" t="s">
        <v>489</v>
      </c>
      <c r="L98" s="3"/>
      <c r="M98" s="3"/>
      <c r="N98" s="3"/>
      <c r="O98" s="3"/>
      <c r="P98" s="3"/>
      <c r="Q98" s="3"/>
      <c r="R98" s="3"/>
      <c r="S98" s="3"/>
      <c r="T98" s="3"/>
    </row>
    <row r="99" spans="1:20" x14ac:dyDescent="0.25">
      <c r="A99" s="47" t="s">
        <v>541</v>
      </c>
      <c r="B99" s="3">
        <v>80</v>
      </c>
      <c r="C99" s="81" t="str">
        <f t="shared" si="1"/>
        <v>45</v>
      </c>
      <c r="D99" s="3"/>
      <c r="E99" s="3"/>
      <c r="F99" s="3"/>
      <c r="G99" s="3"/>
      <c r="H99" s="3"/>
      <c r="I99" s="3"/>
      <c r="J99" s="3" t="s">
        <v>489</v>
      </c>
      <c r="L99" s="3"/>
      <c r="M99" s="3"/>
      <c r="N99" s="3"/>
      <c r="O99" s="3"/>
      <c r="P99" s="3"/>
      <c r="Q99" s="3"/>
      <c r="R99" s="3"/>
      <c r="S99" s="3"/>
      <c r="T99" s="3"/>
    </row>
    <row r="100" spans="1:20" x14ac:dyDescent="0.25">
      <c r="A100" s="47" t="s">
        <v>542</v>
      </c>
      <c r="B100" s="3">
        <v>80</v>
      </c>
      <c r="C100" s="81" t="str">
        <f t="shared" si="1"/>
        <v>46</v>
      </c>
      <c r="D100" s="3"/>
      <c r="E100" s="3"/>
      <c r="F100" s="3"/>
      <c r="G100" s="3"/>
      <c r="H100" s="3"/>
      <c r="I100" s="3"/>
      <c r="J100" s="3" t="s">
        <v>489</v>
      </c>
      <c r="L100" s="3"/>
      <c r="M100" s="3"/>
      <c r="N100" s="3"/>
      <c r="O100" s="3"/>
      <c r="P100" s="3"/>
      <c r="Q100" s="3"/>
      <c r="R100" s="3"/>
      <c r="S100" s="3"/>
      <c r="T100" s="3"/>
    </row>
    <row r="101" spans="1:20" x14ac:dyDescent="0.25">
      <c r="A101" s="47" t="s">
        <v>543</v>
      </c>
      <c r="B101" s="3">
        <v>80</v>
      </c>
      <c r="C101" s="81" t="str">
        <f t="shared" si="1"/>
        <v>47</v>
      </c>
      <c r="D101" s="3"/>
      <c r="E101" s="3"/>
      <c r="F101" s="3"/>
      <c r="G101" s="3"/>
      <c r="H101" s="3"/>
      <c r="I101" s="3"/>
      <c r="J101" s="3" t="s">
        <v>489</v>
      </c>
      <c r="L101" s="3"/>
      <c r="M101" s="3"/>
      <c r="N101" s="3"/>
      <c r="O101" s="3"/>
      <c r="P101" s="3"/>
      <c r="Q101" s="3"/>
      <c r="R101" s="3"/>
      <c r="S101" s="3"/>
      <c r="T101" s="3"/>
    </row>
    <row r="102" spans="1:20" x14ac:dyDescent="0.25">
      <c r="A102" s="47" t="s">
        <v>544</v>
      </c>
      <c r="B102" s="3">
        <v>80</v>
      </c>
      <c r="C102" s="81" t="str">
        <f t="shared" si="1"/>
        <v>48</v>
      </c>
      <c r="D102" s="3"/>
      <c r="E102" s="3"/>
      <c r="F102" s="3"/>
      <c r="G102" s="3"/>
      <c r="H102" s="3"/>
      <c r="I102" s="3"/>
      <c r="J102" s="3" t="s">
        <v>489</v>
      </c>
      <c r="L102" s="3"/>
      <c r="M102" s="3"/>
      <c r="N102" s="3"/>
      <c r="O102" s="3"/>
      <c r="P102" s="3"/>
      <c r="Q102" s="3"/>
      <c r="R102" s="3"/>
      <c r="S102" s="3"/>
      <c r="T102" s="3"/>
    </row>
    <row r="103" spans="1:20" x14ac:dyDescent="0.25">
      <c r="A103" s="47" t="s">
        <v>545</v>
      </c>
      <c r="B103" s="3">
        <v>80</v>
      </c>
      <c r="C103" s="81" t="str">
        <f t="shared" si="1"/>
        <v>49</v>
      </c>
      <c r="D103" s="3"/>
      <c r="E103" s="3"/>
      <c r="F103" s="3"/>
      <c r="G103" s="3"/>
      <c r="H103" s="3"/>
      <c r="I103" s="3"/>
      <c r="J103" s="3" t="s">
        <v>489</v>
      </c>
      <c r="L103" s="3"/>
      <c r="M103" s="3"/>
      <c r="N103" s="3"/>
      <c r="O103" s="3"/>
      <c r="P103" s="3"/>
      <c r="Q103" s="3"/>
      <c r="R103" s="3"/>
      <c r="S103" s="3"/>
      <c r="T103" s="3"/>
    </row>
    <row r="104" spans="1:20" x14ac:dyDescent="0.25">
      <c r="A104" s="47" t="s">
        <v>546</v>
      </c>
      <c r="B104" s="3">
        <v>80</v>
      </c>
      <c r="C104" s="81" t="str">
        <f t="shared" si="1"/>
        <v>4A</v>
      </c>
      <c r="D104" s="3"/>
      <c r="E104" s="3"/>
      <c r="F104" s="3"/>
      <c r="G104" s="3"/>
      <c r="H104" s="3"/>
      <c r="I104" s="3"/>
      <c r="J104" s="3" t="s">
        <v>489</v>
      </c>
      <c r="L104" s="3"/>
      <c r="M104" s="3"/>
      <c r="N104" s="3"/>
      <c r="O104" s="3"/>
      <c r="P104" s="3"/>
      <c r="Q104" s="3"/>
      <c r="R104" s="3"/>
      <c r="S104" s="3"/>
      <c r="T104" s="3"/>
    </row>
    <row r="105" spans="1:20" x14ac:dyDescent="0.25">
      <c r="A105" s="47" t="s">
        <v>547</v>
      </c>
      <c r="B105" s="3">
        <v>80</v>
      </c>
      <c r="C105" s="81" t="str">
        <f t="shared" si="1"/>
        <v>4B</v>
      </c>
      <c r="D105" s="3"/>
      <c r="E105" s="3"/>
      <c r="F105" s="3"/>
      <c r="G105" s="3"/>
      <c r="H105" s="3"/>
      <c r="I105" s="3"/>
      <c r="J105" s="3" t="s">
        <v>489</v>
      </c>
      <c r="L105" s="3"/>
      <c r="M105" s="3"/>
      <c r="N105" s="3"/>
      <c r="O105" s="3"/>
      <c r="P105" s="3"/>
      <c r="Q105" s="3"/>
      <c r="R105" s="3"/>
      <c r="S105" s="3"/>
      <c r="T105" s="3"/>
    </row>
    <row r="106" spans="1:20" x14ac:dyDescent="0.25">
      <c r="A106" s="47" t="s">
        <v>548</v>
      </c>
      <c r="B106" s="3">
        <v>80</v>
      </c>
      <c r="C106" s="81" t="str">
        <f t="shared" si="1"/>
        <v>4C</v>
      </c>
      <c r="D106" s="3"/>
      <c r="E106" s="3"/>
      <c r="F106" s="3"/>
      <c r="G106" s="3"/>
      <c r="H106" s="3"/>
      <c r="I106" s="3"/>
      <c r="J106" s="3" t="s">
        <v>489</v>
      </c>
      <c r="L106" s="3"/>
      <c r="M106" s="3"/>
      <c r="N106" s="3"/>
      <c r="O106" s="3"/>
      <c r="P106" s="3"/>
      <c r="Q106" s="3"/>
      <c r="R106" s="3"/>
      <c r="S106" s="3"/>
      <c r="T106" s="3"/>
    </row>
    <row r="107" spans="1:20" x14ac:dyDescent="0.25">
      <c r="A107" s="61" t="s">
        <v>549</v>
      </c>
      <c r="B107" s="3">
        <v>80</v>
      </c>
      <c r="C107" s="81" t="str">
        <f t="shared" si="1"/>
        <v>4D</v>
      </c>
      <c r="D107" s="3"/>
      <c r="E107" s="3"/>
      <c r="F107" s="3"/>
      <c r="G107" s="3"/>
      <c r="H107" s="3"/>
      <c r="I107" s="3"/>
      <c r="J107" s="3" t="s">
        <v>489</v>
      </c>
      <c r="L107" s="3"/>
      <c r="M107" s="3"/>
      <c r="N107" s="3"/>
      <c r="O107" s="3"/>
      <c r="P107" s="3"/>
      <c r="Q107" s="3"/>
      <c r="R107" s="3"/>
      <c r="S107" s="3"/>
      <c r="T107" s="3"/>
    </row>
    <row r="108" spans="1:20" x14ac:dyDescent="0.25">
      <c r="A108" s="61" t="s">
        <v>550</v>
      </c>
      <c r="B108" s="3">
        <v>80</v>
      </c>
      <c r="C108" s="81" t="str">
        <f t="shared" si="1"/>
        <v>4E</v>
      </c>
      <c r="D108" s="3"/>
      <c r="E108" s="3"/>
      <c r="F108" s="3"/>
      <c r="G108" s="3"/>
      <c r="H108" s="3"/>
      <c r="I108" s="3"/>
      <c r="J108" s="3" t="s">
        <v>489</v>
      </c>
      <c r="L108" s="3"/>
      <c r="M108" s="3"/>
      <c r="N108" s="3"/>
      <c r="O108" s="3"/>
      <c r="P108" s="3"/>
      <c r="Q108" s="3"/>
      <c r="R108" s="3"/>
      <c r="S108" s="3"/>
      <c r="T108" s="3"/>
    </row>
    <row r="109" spans="1:20" x14ac:dyDescent="0.25">
      <c r="A109" s="46" t="s">
        <v>347</v>
      </c>
      <c r="B109" s="3">
        <v>80</v>
      </c>
      <c r="C109" s="81" t="str">
        <f t="shared" si="1"/>
        <v>4F</v>
      </c>
      <c r="D109" s="3" t="s">
        <v>141</v>
      </c>
      <c r="E109" s="3"/>
      <c r="F109" s="3">
        <v>0</v>
      </c>
      <c r="G109" s="3">
        <v>1</v>
      </c>
      <c r="H109" s="3"/>
      <c r="I109" s="3" t="s">
        <v>88</v>
      </c>
      <c r="J109" s="3"/>
      <c r="K109" s="3" t="s">
        <v>651</v>
      </c>
      <c r="L109" s="3"/>
      <c r="M109" s="3"/>
      <c r="N109" s="3"/>
      <c r="O109" s="3"/>
      <c r="P109" s="3"/>
      <c r="Q109" s="3"/>
      <c r="R109" s="3"/>
      <c r="S109" s="3"/>
      <c r="T109" s="3"/>
    </row>
    <row r="110" spans="1:20" x14ac:dyDescent="0.25">
      <c r="A110" s="61" t="s">
        <v>379</v>
      </c>
      <c r="B110" s="3">
        <v>80</v>
      </c>
      <c r="C110" s="81" t="str">
        <f t="shared" si="1"/>
        <v>50</v>
      </c>
      <c r="D110" s="3"/>
      <c r="E110" s="3"/>
      <c r="F110" s="3"/>
      <c r="G110" s="3"/>
      <c r="H110" s="3"/>
      <c r="I110" s="3"/>
      <c r="J110" s="3" t="s">
        <v>489</v>
      </c>
      <c r="L110" s="3"/>
      <c r="M110" s="3"/>
      <c r="N110" s="3"/>
      <c r="O110" s="3"/>
      <c r="P110" s="3"/>
      <c r="Q110" s="3"/>
      <c r="R110" s="3"/>
      <c r="S110" s="3"/>
      <c r="T110" s="3"/>
    </row>
    <row r="111" spans="1:20" x14ac:dyDescent="0.25">
      <c r="A111" s="61" t="s">
        <v>380</v>
      </c>
      <c r="B111" s="3">
        <v>80</v>
      </c>
      <c r="C111" s="81" t="str">
        <f t="shared" si="1"/>
        <v>51</v>
      </c>
      <c r="D111" s="3"/>
      <c r="E111" s="3"/>
      <c r="F111" s="3"/>
      <c r="G111" s="3"/>
      <c r="H111" s="3"/>
      <c r="I111" s="3"/>
      <c r="J111" s="3" t="s">
        <v>489</v>
      </c>
      <c r="L111" s="3"/>
      <c r="M111" s="3"/>
      <c r="N111" s="3"/>
      <c r="O111" s="3"/>
      <c r="P111" s="3"/>
      <c r="Q111" s="3"/>
      <c r="R111" s="3"/>
      <c r="S111" s="3"/>
      <c r="T111" s="3"/>
    </row>
    <row r="112" spans="1:20" x14ac:dyDescent="0.25">
      <c r="A112" s="61" t="s">
        <v>381</v>
      </c>
      <c r="B112" s="3">
        <v>80</v>
      </c>
      <c r="C112" s="81" t="str">
        <f t="shared" si="1"/>
        <v>52</v>
      </c>
      <c r="D112" s="3"/>
      <c r="E112" s="3"/>
      <c r="F112" s="3"/>
      <c r="G112" s="3"/>
      <c r="H112" s="3"/>
      <c r="I112" s="3"/>
      <c r="J112" s="3" t="s">
        <v>489</v>
      </c>
      <c r="L112" s="3"/>
      <c r="M112" s="3"/>
      <c r="N112" s="3"/>
      <c r="O112" s="3"/>
      <c r="P112" s="3"/>
      <c r="Q112" s="3"/>
      <c r="R112" s="3"/>
      <c r="S112" s="3"/>
      <c r="T112" s="3"/>
    </row>
    <row r="113" spans="1:20" x14ac:dyDescent="0.25">
      <c r="A113" s="61" t="s">
        <v>382</v>
      </c>
      <c r="B113" s="3">
        <v>80</v>
      </c>
      <c r="C113" s="81" t="str">
        <f t="shared" si="1"/>
        <v>53</v>
      </c>
      <c r="D113" s="3"/>
      <c r="E113" s="3"/>
      <c r="F113" s="3"/>
      <c r="G113" s="3"/>
      <c r="H113" s="3"/>
      <c r="I113" s="3"/>
      <c r="J113" s="3" t="s">
        <v>489</v>
      </c>
      <c r="L113" s="3"/>
      <c r="M113" s="3"/>
      <c r="N113" s="3"/>
      <c r="O113" s="3"/>
      <c r="P113" s="3"/>
      <c r="Q113" s="3"/>
      <c r="R113" s="3"/>
      <c r="S113" s="3"/>
      <c r="T113" s="3"/>
    </row>
    <row r="114" spans="1:20" x14ac:dyDescent="0.25">
      <c r="A114" s="46" t="s">
        <v>347</v>
      </c>
      <c r="B114" s="3">
        <v>80</v>
      </c>
      <c r="C114" s="81" t="str">
        <f t="shared" si="1"/>
        <v>54</v>
      </c>
      <c r="D114" s="3"/>
      <c r="E114" s="3"/>
      <c r="F114" s="3"/>
      <c r="G114" s="3"/>
      <c r="H114" s="3"/>
      <c r="I114" s="3"/>
      <c r="J114" s="3"/>
      <c r="L114" s="3"/>
      <c r="M114" s="3"/>
    </row>
    <row r="115" spans="1:20" x14ac:dyDescent="0.25">
      <c r="A115" s="41" t="s">
        <v>652</v>
      </c>
      <c r="B115" s="3">
        <v>80</v>
      </c>
      <c r="C115" s="81" t="str">
        <f t="shared" si="1"/>
        <v>55</v>
      </c>
      <c r="D115" s="3" t="s">
        <v>241</v>
      </c>
      <c r="E115" s="3"/>
      <c r="F115" s="3">
        <v>0</v>
      </c>
      <c r="G115" s="3">
        <v>32767</v>
      </c>
      <c r="H115" s="3" t="s">
        <v>643</v>
      </c>
      <c r="I115" s="3" t="s">
        <v>94</v>
      </c>
      <c r="J115" s="3"/>
      <c r="L115" s="3"/>
      <c r="M115" s="3"/>
      <c r="N115" s="3"/>
      <c r="O115" s="3"/>
      <c r="P115" s="3"/>
      <c r="Q115" s="3"/>
      <c r="R115" s="3"/>
      <c r="S115" s="3"/>
      <c r="T115" s="3"/>
    </row>
    <row r="116" spans="1:20" x14ac:dyDescent="0.25">
      <c r="A116" s="46" t="s">
        <v>347</v>
      </c>
      <c r="B116" s="3">
        <v>80</v>
      </c>
      <c r="C116" s="81" t="str">
        <f t="shared" si="1"/>
        <v>56</v>
      </c>
      <c r="D116" s="3" t="s">
        <v>241</v>
      </c>
      <c r="E116" s="3"/>
      <c r="F116" s="3">
        <v>0</v>
      </c>
      <c r="G116" s="3">
        <v>32767</v>
      </c>
      <c r="H116" s="3" t="s">
        <v>643</v>
      </c>
      <c r="I116" s="3" t="s">
        <v>94</v>
      </c>
      <c r="J116" s="3"/>
      <c r="L116" s="3"/>
      <c r="M116" s="3"/>
      <c r="N116" s="3"/>
      <c r="O116" s="3"/>
      <c r="P116" s="3"/>
      <c r="Q116" s="3"/>
      <c r="R116" s="3"/>
      <c r="S116" s="3"/>
      <c r="T116" s="3"/>
    </row>
    <row r="117" spans="1:20" x14ac:dyDescent="0.25">
      <c r="A117" s="19" t="s">
        <v>655</v>
      </c>
      <c r="B117" s="3">
        <v>80</v>
      </c>
      <c r="C117" s="81" t="str">
        <f t="shared" si="1"/>
        <v>57</v>
      </c>
      <c r="D117" s="3" t="s">
        <v>226</v>
      </c>
      <c r="E117" s="3"/>
      <c r="F117" s="3" t="s">
        <v>656</v>
      </c>
      <c r="G117" s="3" t="s">
        <v>657</v>
      </c>
      <c r="H117" s="3" t="s">
        <v>658</v>
      </c>
      <c r="I117" s="3" t="s">
        <v>88</v>
      </c>
      <c r="J117" s="3"/>
      <c r="K117" s="3" t="s">
        <v>659</v>
      </c>
      <c r="L117" s="3"/>
      <c r="M117" s="3"/>
      <c r="N117" s="3"/>
      <c r="O117" s="3"/>
      <c r="P117" s="3"/>
      <c r="Q117" s="3"/>
      <c r="R117" s="3"/>
      <c r="S117" s="3"/>
      <c r="T117" s="3"/>
    </row>
    <row r="118" spans="1:20" x14ac:dyDescent="0.25">
      <c r="A118" s="19" t="s">
        <v>669</v>
      </c>
      <c r="B118" s="3">
        <v>80</v>
      </c>
      <c r="C118" s="81" t="str">
        <f t="shared" si="1"/>
        <v>58</v>
      </c>
      <c r="D118" s="3" t="s">
        <v>226</v>
      </c>
      <c r="E118" s="3"/>
      <c r="F118" s="3" t="s">
        <v>656</v>
      </c>
      <c r="G118" s="3" t="s">
        <v>657</v>
      </c>
      <c r="H118" s="3" t="s">
        <v>658</v>
      </c>
      <c r="I118" s="3" t="s">
        <v>88</v>
      </c>
      <c r="J118" s="3"/>
      <c r="K118" s="3" t="s">
        <v>660</v>
      </c>
      <c r="L118" s="3"/>
      <c r="M118" s="3"/>
      <c r="N118" s="3"/>
      <c r="O118" s="3"/>
      <c r="P118" s="3"/>
      <c r="Q118" s="3"/>
      <c r="R118" s="3"/>
      <c r="S118" s="3"/>
      <c r="T118" s="3"/>
    </row>
    <row r="119" spans="1:20" x14ac:dyDescent="0.25">
      <c r="A119" s="46" t="s">
        <v>347</v>
      </c>
      <c r="B119" s="3">
        <v>80</v>
      </c>
      <c r="C119" s="81" t="str">
        <f t="shared" si="1"/>
        <v>59</v>
      </c>
      <c r="D119" s="3"/>
      <c r="E119" s="3"/>
      <c r="F119" s="3"/>
      <c r="G119" s="3"/>
      <c r="H119" s="3"/>
      <c r="I119" s="3"/>
      <c r="J119" s="3"/>
      <c r="L119" s="3"/>
    </row>
    <row r="120" spans="1:20" x14ac:dyDescent="0.25">
      <c r="A120" s="83" t="s">
        <v>677</v>
      </c>
      <c r="B120" s="3">
        <v>80</v>
      </c>
      <c r="C120" s="81" t="str">
        <f t="shared" si="1"/>
        <v>5A</v>
      </c>
      <c r="D120" s="3" t="s">
        <v>141</v>
      </c>
      <c r="E120" s="3"/>
      <c r="F120" s="3">
        <v>0</v>
      </c>
      <c r="G120" s="3">
        <v>1</v>
      </c>
      <c r="H120" s="3"/>
      <c r="I120" s="3" t="s">
        <v>88</v>
      </c>
      <c r="J120" s="3"/>
      <c r="K120" s="10" t="s">
        <v>683</v>
      </c>
    </row>
    <row r="121" spans="1:20" x14ac:dyDescent="0.25">
      <c r="A121" s="41" t="s">
        <v>678</v>
      </c>
      <c r="B121" s="3">
        <v>80</v>
      </c>
      <c r="C121" s="81" t="str">
        <f t="shared" si="1"/>
        <v>5B</v>
      </c>
      <c r="D121" s="3" t="s">
        <v>241</v>
      </c>
      <c r="E121" s="3"/>
      <c r="F121" s="3">
        <v>20</v>
      </c>
      <c r="G121" s="3">
        <v>600</v>
      </c>
      <c r="H121" s="3" t="s">
        <v>681</v>
      </c>
      <c r="I121" s="3" t="s">
        <v>88</v>
      </c>
      <c r="J121" s="3"/>
      <c r="K121" s="10"/>
    </row>
    <row r="122" spans="1:20" x14ac:dyDescent="0.25">
      <c r="A122" s="41" t="s">
        <v>799</v>
      </c>
      <c r="B122" s="3">
        <v>80</v>
      </c>
      <c r="C122" s="81" t="str">
        <f t="shared" si="1"/>
        <v>5C</v>
      </c>
      <c r="D122" s="3" t="s">
        <v>141</v>
      </c>
      <c r="E122" s="3"/>
      <c r="F122" s="3">
        <v>0</v>
      </c>
      <c r="G122" s="3">
        <v>1</v>
      </c>
      <c r="H122" s="3"/>
      <c r="I122" s="3" t="s">
        <v>94</v>
      </c>
      <c r="J122" s="3"/>
      <c r="K122" s="1"/>
    </row>
    <row r="123" spans="1:20" x14ac:dyDescent="0.25">
      <c r="A123" s="41" t="s">
        <v>800</v>
      </c>
      <c r="B123" s="3">
        <v>80</v>
      </c>
      <c r="C123" s="81" t="str">
        <f t="shared" si="1"/>
        <v>5D</v>
      </c>
      <c r="D123" s="3" t="s">
        <v>141</v>
      </c>
      <c r="E123" s="3"/>
      <c r="F123" s="3">
        <v>0</v>
      </c>
      <c r="G123" s="3">
        <v>1</v>
      </c>
      <c r="H123" s="3"/>
      <c r="I123" s="3" t="s">
        <v>94</v>
      </c>
    </row>
    <row r="124" spans="1:20" x14ac:dyDescent="0.25">
      <c r="A124" s="46" t="s">
        <v>347</v>
      </c>
      <c r="B124" s="3">
        <v>80</v>
      </c>
      <c r="C124" s="81" t="str">
        <f t="shared" si="1"/>
        <v>5E</v>
      </c>
      <c r="D124" s="3" t="s">
        <v>141</v>
      </c>
      <c r="E124" s="3"/>
      <c r="F124" s="3">
        <v>0</v>
      </c>
      <c r="G124" s="3">
        <v>1</v>
      </c>
      <c r="H124" s="3"/>
      <c r="I124" s="3" t="s">
        <v>94</v>
      </c>
    </row>
    <row r="125" spans="1:20" x14ac:dyDescent="0.25">
      <c r="A125" s="46" t="s">
        <v>347</v>
      </c>
      <c r="B125" s="3">
        <v>80</v>
      </c>
      <c r="C125" s="81" t="str">
        <f t="shared" si="1"/>
        <v>5F</v>
      </c>
      <c r="D125" s="3" t="s">
        <v>141</v>
      </c>
      <c r="E125" s="3"/>
      <c r="F125" s="3">
        <v>0</v>
      </c>
      <c r="G125" s="3">
        <v>1</v>
      </c>
      <c r="H125" s="3"/>
      <c r="I125" s="3" t="s">
        <v>94</v>
      </c>
    </row>
  </sheetData>
  <mergeCells count="4">
    <mergeCell ref="A1:J1"/>
    <mergeCell ref="B3:C3"/>
    <mergeCell ref="K4:T4"/>
    <mergeCell ref="K29:T29"/>
  </mergeCells>
  <pageMargins left="0.7" right="0.7" top="0.75" bottom="0.75" header="0.511811023622047" footer="0.511811023622047"/>
  <pageSetup paperSize="9"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J32"/>
  <sheetViews>
    <sheetView zoomScale="80" zoomScaleNormal="80" workbookViewId="0">
      <pane ySplit="1" topLeftCell="A2" activePane="bottomLeft" state="frozen"/>
      <selection pane="bottomLeft" activeCell="A5" sqref="A5"/>
    </sheetView>
  </sheetViews>
  <sheetFormatPr defaultColWidth="9.28515625" defaultRowHeight="15" x14ac:dyDescent="0.25"/>
  <cols>
    <col min="1" max="3" width="30.7109375" style="1" customWidth="1"/>
    <col min="4" max="5" width="30.7109375" style="30" customWidth="1"/>
    <col min="6" max="1024" width="9.28515625" style="1"/>
  </cols>
  <sheetData>
    <row r="1" spans="1:5" s="33" customFormat="1" x14ac:dyDescent="0.25">
      <c r="A1" s="31" t="s">
        <v>270</v>
      </c>
      <c r="B1" s="31" t="s">
        <v>271</v>
      </c>
      <c r="C1" s="31" t="s">
        <v>272</v>
      </c>
      <c r="D1" s="32" t="s">
        <v>273</v>
      </c>
      <c r="E1" s="32" t="s">
        <v>274</v>
      </c>
    </row>
    <row r="2" spans="1:5" x14ac:dyDescent="0.25">
      <c r="A2" s="1" t="s">
        <v>275</v>
      </c>
      <c r="B2" s="1" t="s">
        <v>276</v>
      </c>
      <c r="C2" s="1" t="s">
        <v>277</v>
      </c>
      <c r="D2" s="30">
        <v>1</v>
      </c>
      <c r="E2" s="30">
        <v>1</v>
      </c>
    </row>
    <row r="3" spans="1:5" x14ac:dyDescent="0.25">
      <c r="A3" s="1" t="s">
        <v>278</v>
      </c>
      <c r="B3" s="1" t="s">
        <v>279</v>
      </c>
      <c r="C3" s="1" t="s">
        <v>277</v>
      </c>
      <c r="D3" s="30">
        <v>1</v>
      </c>
      <c r="E3" s="30">
        <v>2</v>
      </c>
    </row>
    <row r="4" spans="1:5" x14ac:dyDescent="0.25">
      <c r="A4" s="1" t="s">
        <v>280</v>
      </c>
      <c r="B4" s="1" t="s">
        <v>281</v>
      </c>
      <c r="C4" s="1" t="s">
        <v>282</v>
      </c>
      <c r="D4" s="30">
        <v>2</v>
      </c>
      <c r="E4" s="30">
        <v>3</v>
      </c>
    </row>
    <row r="5" spans="1:5" x14ac:dyDescent="0.25">
      <c r="A5" s="1" t="s">
        <v>283</v>
      </c>
      <c r="B5" s="1" t="s">
        <v>284</v>
      </c>
      <c r="C5" s="1" t="s">
        <v>282</v>
      </c>
      <c r="D5" s="30">
        <v>2</v>
      </c>
      <c r="E5" s="30">
        <v>4</v>
      </c>
    </row>
    <row r="6" spans="1:5" x14ac:dyDescent="0.25">
      <c r="A6" s="1" t="s">
        <v>285</v>
      </c>
      <c r="B6" s="1" t="s">
        <v>286</v>
      </c>
      <c r="C6" s="1" t="s">
        <v>287</v>
      </c>
      <c r="D6" s="30">
        <v>3</v>
      </c>
      <c r="E6" s="30">
        <v>5</v>
      </c>
    </row>
    <row r="7" spans="1:5" x14ac:dyDescent="0.25">
      <c r="A7" s="1" t="s">
        <v>288</v>
      </c>
      <c r="B7" s="1" t="s">
        <v>289</v>
      </c>
      <c r="D7" s="30">
        <v>4</v>
      </c>
      <c r="E7" s="30">
        <v>6</v>
      </c>
    </row>
    <row r="8" spans="1:5" x14ac:dyDescent="0.25">
      <c r="A8" s="1" t="s">
        <v>311</v>
      </c>
      <c r="D8" s="30">
        <v>5</v>
      </c>
      <c r="E8" s="30">
        <v>7</v>
      </c>
    </row>
    <row r="9" spans="1:5" x14ac:dyDescent="0.25">
      <c r="A9" s="1" t="s">
        <v>312</v>
      </c>
      <c r="D9" s="30">
        <v>5</v>
      </c>
      <c r="E9" s="30">
        <v>8</v>
      </c>
    </row>
    <row r="10" spans="1:5" x14ac:dyDescent="0.25">
      <c r="A10" s="1" t="s">
        <v>349</v>
      </c>
      <c r="D10" s="30">
        <v>5</v>
      </c>
      <c r="E10" s="30">
        <v>9</v>
      </c>
    </row>
    <row r="11" spans="1:5" x14ac:dyDescent="0.25">
      <c r="A11" s="1" t="s">
        <v>428</v>
      </c>
      <c r="B11" s="1" t="s">
        <v>430</v>
      </c>
      <c r="D11" s="30">
        <v>6</v>
      </c>
      <c r="E11" s="30">
        <v>10</v>
      </c>
    </row>
    <row r="12" spans="1:5" x14ac:dyDescent="0.25">
      <c r="A12" s="1" t="s">
        <v>726</v>
      </c>
      <c r="C12" s="1" t="s">
        <v>429</v>
      </c>
      <c r="D12" s="30">
        <v>7</v>
      </c>
      <c r="E12" s="30">
        <v>11</v>
      </c>
    </row>
    <row r="13" spans="1:5" x14ac:dyDescent="0.25">
      <c r="A13" s="1" t="s">
        <v>727</v>
      </c>
      <c r="D13" s="30">
        <v>7</v>
      </c>
      <c r="E13" s="30">
        <v>12</v>
      </c>
    </row>
    <row r="14" spans="1:5" x14ac:dyDescent="0.25">
      <c r="A14" s="1" t="s">
        <v>728</v>
      </c>
      <c r="D14" s="30">
        <v>7</v>
      </c>
      <c r="E14" s="30">
        <v>13</v>
      </c>
    </row>
    <row r="15" spans="1:5" x14ac:dyDescent="0.25">
      <c r="A15" s="1" t="s">
        <v>725</v>
      </c>
      <c r="D15" s="30">
        <v>8</v>
      </c>
      <c r="E15" s="30">
        <v>14</v>
      </c>
    </row>
    <row r="16" spans="1:5" x14ac:dyDescent="0.25">
      <c r="A16" s="1" t="s">
        <v>792</v>
      </c>
      <c r="B16" s="1" t="s">
        <v>794</v>
      </c>
      <c r="C16" s="1" t="s">
        <v>793</v>
      </c>
      <c r="D16" s="30">
        <v>9</v>
      </c>
      <c r="E16" s="30">
        <v>15</v>
      </c>
    </row>
    <row r="17" spans="5:5" x14ac:dyDescent="0.25">
      <c r="E17" s="30">
        <v>16</v>
      </c>
    </row>
    <row r="18" spans="5:5" x14ac:dyDescent="0.25">
      <c r="E18" s="30">
        <v>17</v>
      </c>
    </row>
    <row r="19" spans="5:5" x14ac:dyDescent="0.25">
      <c r="E19" s="30">
        <v>18</v>
      </c>
    </row>
    <row r="20" spans="5:5" x14ac:dyDescent="0.25">
      <c r="E20" s="30">
        <v>19</v>
      </c>
    </row>
    <row r="21" spans="5:5" x14ac:dyDescent="0.25">
      <c r="E21" s="30">
        <v>20</v>
      </c>
    </row>
    <row r="22" spans="5:5" x14ac:dyDescent="0.25">
      <c r="E22" s="30">
        <v>21</v>
      </c>
    </row>
    <row r="23" spans="5:5" x14ac:dyDescent="0.25">
      <c r="E23" s="30">
        <v>22</v>
      </c>
    </row>
    <row r="24" spans="5:5" x14ac:dyDescent="0.25">
      <c r="E24" s="30">
        <v>23</v>
      </c>
    </row>
    <row r="25" spans="5:5" x14ac:dyDescent="0.25">
      <c r="E25" s="30">
        <v>24</v>
      </c>
    </row>
    <row r="26" spans="5:5" x14ac:dyDescent="0.25">
      <c r="E26" s="30">
        <v>25</v>
      </c>
    </row>
    <row r="27" spans="5:5" x14ac:dyDescent="0.25">
      <c r="E27" s="30">
        <v>26</v>
      </c>
    </row>
    <row r="28" spans="5:5" x14ac:dyDescent="0.25">
      <c r="E28" s="30">
        <v>27</v>
      </c>
    </row>
    <row r="29" spans="5:5" x14ac:dyDescent="0.25">
      <c r="E29" s="30">
        <v>28</v>
      </c>
    </row>
    <row r="30" spans="5:5" x14ac:dyDescent="0.25">
      <c r="E30" s="30">
        <v>29</v>
      </c>
    </row>
    <row r="31" spans="5:5" x14ac:dyDescent="0.25">
      <c r="E31" s="30">
        <v>30</v>
      </c>
    </row>
    <row r="32" spans="5:5" x14ac:dyDescent="0.25">
      <c r="E32" s="30">
        <v>31</v>
      </c>
    </row>
  </sheetData>
  <autoFilter ref="A1:E1" xr:uid="{00000000-0009-0000-0000-000007000000}"/>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51"/>
  <sheetViews>
    <sheetView zoomScale="80" zoomScaleNormal="80" workbookViewId="0">
      <selection activeCell="F29" sqref="F29"/>
    </sheetView>
  </sheetViews>
  <sheetFormatPr defaultColWidth="8.5703125" defaultRowHeight="15" x14ac:dyDescent="0.25"/>
  <cols>
    <col min="1" max="1" width="22.42578125" bestFit="1" customWidth="1"/>
    <col min="2" max="3" width="14.28515625" bestFit="1" customWidth="1"/>
    <col min="4" max="4" width="9.7109375" bestFit="1" customWidth="1"/>
    <col min="5" max="5" width="17" bestFit="1" customWidth="1"/>
    <col min="6" max="6" width="17.28515625" bestFit="1" customWidth="1"/>
    <col min="7" max="7" width="21.7109375" bestFit="1" customWidth="1"/>
    <col min="8" max="8" width="59.28515625" bestFit="1" customWidth="1"/>
  </cols>
  <sheetData>
    <row r="1" spans="1:12" s="3" customFormat="1" ht="45" x14ac:dyDescent="0.25">
      <c r="A1" s="34" t="s">
        <v>290</v>
      </c>
      <c r="B1" s="34" t="s">
        <v>291</v>
      </c>
      <c r="C1" s="34" t="s">
        <v>292</v>
      </c>
      <c r="D1" s="34" t="s">
        <v>293</v>
      </c>
      <c r="E1" s="34" t="s">
        <v>294</v>
      </c>
      <c r="F1" s="34" t="s">
        <v>295</v>
      </c>
      <c r="G1" s="34" t="s">
        <v>296</v>
      </c>
      <c r="H1" s="10" t="s">
        <v>612</v>
      </c>
    </row>
    <row r="2" spans="1:12" x14ac:dyDescent="0.25">
      <c r="A2" s="19" t="s">
        <v>90</v>
      </c>
      <c r="B2" s="3" t="s">
        <v>297</v>
      </c>
      <c r="C2" s="3" t="s">
        <v>298</v>
      </c>
      <c r="D2" s="3">
        <v>1</v>
      </c>
      <c r="E2" s="3">
        <v>1</v>
      </c>
      <c r="F2" s="3">
        <v>1</v>
      </c>
      <c r="G2" s="3" t="str">
        <f t="shared" ref="G2:G51" si="0">IF(OR(D2="",E2="",F2=""),"",CONCATENATE("0x",DEC2HEX(MOD(F2,64)+E2*POWER(2,6)+D2*POWER(2,16),8)))</f>
        <v>0x00010041</v>
      </c>
      <c r="H2" s="3"/>
    </row>
    <row r="3" spans="1:12" x14ac:dyDescent="0.25">
      <c r="A3" s="19" t="s">
        <v>90</v>
      </c>
      <c r="B3" s="3" t="s">
        <v>279</v>
      </c>
      <c r="C3" s="3" t="s">
        <v>299</v>
      </c>
      <c r="D3" s="3">
        <v>1</v>
      </c>
      <c r="E3" s="3">
        <v>2</v>
      </c>
      <c r="F3" s="3">
        <v>1</v>
      </c>
      <c r="G3" s="3" t="str">
        <f t="shared" si="0"/>
        <v>0x00010081</v>
      </c>
      <c r="H3" s="3"/>
      <c r="K3" s="35"/>
      <c r="L3" t="s">
        <v>300</v>
      </c>
    </row>
    <row r="4" spans="1:12" x14ac:dyDescent="0.25">
      <c r="A4" s="3" t="s">
        <v>301</v>
      </c>
      <c r="B4" s="3" t="s">
        <v>281</v>
      </c>
      <c r="C4" s="3" t="s">
        <v>302</v>
      </c>
      <c r="D4" s="3">
        <v>2</v>
      </c>
      <c r="E4" s="3">
        <v>3</v>
      </c>
      <c r="F4" s="3">
        <v>1</v>
      </c>
      <c r="G4" s="3" t="str">
        <f t="shared" si="0"/>
        <v>0x000200C1</v>
      </c>
      <c r="H4" s="3"/>
      <c r="K4" t="s">
        <v>303</v>
      </c>
      <c r="L4" t="s">
        <v>304</v>
      </c>
    </row>
    <row r="5" spans="1:12" x14ac:dyDescent="0.25">
      <c r="A5" s="3" t="s">
        <v>305</v>
      </c>
      <c r="B5" s="3" t="s">
        <v>284</v>
      </c>
      <c r="C5" s="3" t="s">
        <v>299</v>
      </c>
      <c r="D5" s="3">
        <v>2</v>
      </c>
      <c r="E5" s="3">
        <v>4</v>
      </c>
      <c r="F5" s="3">
        <v>1</v>
      </c>
      <c r="G5" s="3" t="str">
        <f t="shared" si="0"/>
        <v>0x00020101</v>
      </c>
      <c r="H5" s="3"/>
      <c r="K5" t="s">
        <v>306</v>
      </c>
      <c r="L5" t="s">
        <v>307</v>
      </c>
    </row>
    <row r="6" spans="1:12" x14ac:dyDescent="0.25">
      <c r="A6" s="3" t="s">
        <v>223</v>
      </c>
      <c r="B6" s="3" t="s">
        <v>286</v>
      </c>
      <c r="C6" s="3" t="s">
        <v>302</v>
      </c>
      <c r="D6" s="3">
        <v>3</v>
      </c>
      <c r="E6" s="3">
        <v>5</v>
      </c>
      <c r="F6" s="3">
        <v>1</v>
      </c>
      <c r="G6" s="3" t="str">
        <f t="shared" si="0"/>
        <v>0x00030141</v>
      </c>
      <c r="H6" s="3"/>
    </row>
    <row r="7" spans="1:12" x14ac:dyDescent="0.25">
      <c r="A7" s="3" t="s">
        <v>223</v>
      </c>
      <c r="B7" s="3" t="s">
        <v>537</v>
      </c>
      <c r="C7" s="3" t="s">
        <v>761</v>
      </c>
      <c r="D7" s="3">
        <v>3</v>
      </c>
      <c r="E7" s="3">
        <v>4</v>
      </c>
      <c r="F7" s="3">
        <v>1</v>
      </c>
      <c r="G7" s="3" t="str">
        <f t="shared" si="0"/>
        <v>0x00030101</v>
      </c>
      <c r="H7" s="3" t="s">
        <v>857</v>
      </c>
    </row>
    <row r="8" spans="1:12" x14ac:dyDescent="0.25">
      <c r="A8" s="3" t="s">
        <v>223</v>
      </c>
      <c r="B8" s="3" t="s">
        <v>537</v>
      </c>
      <c r="C8" s="3" t="s">
        <v>762</v>
      </c>
      <c r="D8" s="3">
        <v>3</v>
      </c>
      <c r="E8" s="3">
        <v>4</v>
      </c>
      <c r="F8" s="3">
        <v>2</v>
      </c>
      <c r="G8" s="3" t="str">
        <f t="shared" ref="G8" si="1">IF(OR(D8="",E8="",F8=""),"",CONCATENATE("0x",DEC2HEX(MOD(F8,64)+E8*POWER(2,6)+D8*POWER(2,16),8)))</f>
        <v>0x00030102</v>
      </c>
      <c r="H8" s="3"/>
    </row>
    <row r="9" spans="1:12" x14ac:dyDescent="0.25">
      <c r="A9" s="3" t="s">
        <v>223</v>
      </c>
      <c r="B9" s="3" t="s">
        <v>537</v>
      </c>
      <c r="C9" s="3" t="s">
        <v>763</v>
      </c>
      <c r="D9" s="3">
        <v>3</v>
      </c>
      <c r="E9" s="3">
        <v>4</v>
      </c>
      <c r="F9" s="3">
        <v>3</v>
      </c>
      <c r="G9" s="3" t="str">
        <f t="shared" ref="G9" si="2">IF(OR(D9="",E9="",F9=""),"",CONCATENATE("0x",DEC2HEX(MOD(F9,64)+E9*POWER(2,6)+D9*POWER(2,16),8)))</f>
        <v>0x00030103</v>
      </c>
      <c r="H9" s="3"/>
    </row>
    <row r="10" spans="1:12" x14ac:dyDescent="0.25">
      <c r="A10" s="3" t="s">
        <v>308</v>
      </c>
      <c r="B10" s="3" t="s">
        <v>289</v>
      </c>
      <c r="C10" s="3" t="s">
        <v>298</v>
      </c>
      <c r="D10" s="3">
        <v>4</v>
      </c>
      <c r="E10" s="3">
        <v>6</v>
      </c>
      <c r="F10" s="3">
        <v>1</v>
      </c>
      <c r="G10" s="3" t="str">
        <f t="shared" si="0"/>
        <v>0x00040181</v>
      </c>
      <c r="H10" s="3"/>
    </row>
    <row r="11" spans="1:12" x14ac:dyDescent="0.25">
      <c r="A11" s="3" t="s">
        <v>732</v>
      </c>
      <c r="B11" s="3" t="s">
        <v>729</v>
      </c>
      <c r="C11" s="3" t="s">
        <v>730</v>
      </c>
      <c r="D11" s="3">
        <v>5</v>
      </c>
      <c r="E11" s="3">
        <v>7</v>
      </c>
      <c r="F11" s="3">
        <v>1</v>
      </c>
      <c r="G11" s="3" t="str">
        <f t="shared" si="0"/>
        <v>0x000501C1</v>
      </c>
      <c r="H11" s="3"/>
    </row>
    <row r="12" spans="1:12" x14ac:dyDescent="0.25">
      <c r="A12" s="3" t="s">
        <v>732</v>
      </c>
      <c r="B12" s="3" t="s">
        <v>733</v>
      </c>
      <c r="C12" s="3" t="s">
        <v>731</v>
      </c>
      <c r="D12" s="3">
        <v>5</v>
      </c>
      <c r="E12" s="3">
        <v>8</v>
      </c>
      <c r="F12" s="3">
        <v>1</v>
      </c>
      <c r="G12" s="3" t="str">
        <f t="shared" si="0"/>
        <v>0x00050201</v>
      </c>
      <c r="H12" s="3"/>
    </row>
    <row r="13" spans="1:12" x14ac:dyDescent="0.25">
      <c r="A13" s="3" t="s">
        <v>386</v>
      </c>
      <c r="B13" s="3" t="s">
        <v>430</v>
      </c>
      <c r="C13" s="3" t="s">
        <v>745</v>
      </c>
      <c r="D13" s="3">
        <v>6</v>
      </c>
      <c r="E13" s="3">
        <v>10</v>
      </c>
      <c r="F13" s="3">
        <v>1</v>
      </c>
      <c r="G13" s="3" t="str">
        <f t="shared" si="0"/>
        <v>0x00060281</v>
      </c>
      <c r="H13" s="3"/>
    </row>
    <row r="14" spans="1:12" x14ac:dyDescent="0.25">
      <c r="A14" s="3" t="s">
        <v>426</v>
      </c>
      <c r="B14" s="3"/>
      <c r="C14" s="3" t="s">
        <v>427</v>
      </c>
      <c r="D14" s="3">
        <v>7</v>
      </c>
      <c r="E14" s="3">
        <v>11</v>
      </c>
      <c r="F14" s="3">
        <v>1</v>
      </c>
      <c r="G14" s="3" t="str">
        <f t="shared" si="0"/>
        <v>0x000702C1</v>
      </c>
      <c r="H14" s="3"/>
    </row>
    <row r="15" spans="1:12" x14ac:dyDescent="0.25">
      <c r="A15" s="3" t="s">
        <v>426</v>
      </c>
      <c r="B15" s="3"/>
      <c r="C15" s="3" t="s">
        <v>528</v>
      </c>
      <c r="D15" s="3">
        <v>7</v>
      </c>
      <c r="E15" s="3">
        <v>12</v>
      </c>
      <c r="F15" s="3">
        <v>1</v>
      </c>
      <c r="G15" s="3" t="str">
        <f t="shared" si="0"/>
        <v>0x00070301</v>
      </c>
      <c r="H15" s="3"/>
    </row>
    <row r="16" spans="1:12" x14ac:dyDescent="0.25">
      <c r="A16" s="3" t="s">
        <v>426</v>
      </c>
      <c r="B16" s="3"/>
      <c r="C16" s="3" t="s">
        <v>529</v>
      </c>
      <c r="D16" s="3">
        <v>7</v>
      </c>
      <c r="E16" s="3">
        <v>12</v>
      </c>
      <c r="F16" s="3">
        <v>2</v>
      </c>
      <c r="G16" s="3" t="str">
        <f t="shared" si="0"/>
        <v>0x00070302</v>
      </c>
      <c r="H16" s="3"/>
    </row>
    <row r="17" spans="1:8" x14ac:dyDescent="0.25">
      <c r="A17" s="3" t="s">
        <v>426</v>
      </c>
      <c r="B17" s="3"/>
      <c r="C17" s="3" t="s">
        <v>527</v>
      </c>
      <c r="D17" s="3">
        <v>7</v>
      </c>
      <c r="E17" s="3">
        <v>13</v>
      </c>
      <c r="F17" s="3">
        <v>1</v>
      </c>
      <c r="G17" s="3" t="str">
        <f t="shared" si="0"/>
        <v>0x00070341</v>
      </c>
      <c r="H17" s="3"/>
    </row>
    <row r="18" spans="1:8" x14ac:dyDescent="0.25">
      <c r="A18" s="3" t="s">
        <v>784</v>
      </c>
      <c r="B18" s="3" t="s">
        <v>286</v>
      </c>
      <c r="C18" s="3" t="s">
        <v>302</v>
      </c>
      <c r="D18" s="3">
        <v>8</v>
      </c>
      <c r="E18" s="3">
        <v>14</v>
      </c>
      <c r="F18" s="3">
        <v>1</v>
      </c>
      <c r="G18" s="3" t="str">
        <f t="shared" ref="G18:G19" si="3">IF(OR(D18="",E18="",F18=""),"",CONCATENATE("0x",DEC2HEX(MOD(F18,64)+E18*POWER(2,6)+D18*POWER(2,16),8)))</f>
        <v>0x00080381</v>
      </c>
      <c r="H18" s="3"/>
    </row>
    <row r="19" spans="1:8" x14ac:dyDescent="0.25">
      <c r="A19" s="3" t="s">
        <v>784</v>
      </c>
      <c r="B19" s="3"/>
      <c r="C19" s="3" t="s">
        <v>761</v>
      </c>
      <c r="D19" s="3">
        <v>8</v>
      </c>
      <c r="E19" s="46">
        <v>15</v>
      </c>
      <c r="F19" s="3">
        <v>1</v>
      </c>
      <c r="G19" s="3" t="str">
        <f t="shared" si="3"/>
        <v>0x000803C1</v>
      </c>
      <c r="H19" s="3"/>
    </row>
    <row r="20" spans="1:8" x14ac:dyDescent="0.25">
      <c r="A20" s="3" t="s">
        <v>784</v>
      </c>
      <c r="B20" s="3"/>
      <c r="C20" s="3" t="s">
        <v>762</v>
      </c>
      <c r="D20" s="3">
        <v>8</v>
      </c>
      <c r="E20" s="46">
        <v>15</v>
      </c>
      <c r="F20" s="3">
        <v>2</v>
      </c>
      <c r="G20" s="3" t="str">
        <f t="shared" ref="G20:G21" si="4">IF(OR(D20="",E20="",F20=""),"",CONCATENATE("0x",DEC2HEX(MOD(F20,64)+E20*POWER(2,6)+D20*POWER(2,16),8)))</f>
        <v>0x000803C2</v>
      </c>
      <c r="H20" s="3"/>
    </row>
    <row r="21" spans="1:8" x14ac:dyDescent="0.25">
      <c r="A21" s="3" t="s">
        <v>784</v>
      </c>
      <c r="B21" s="3"/>
      <c r="C21" s="3" t="s">
        <v>763</v>
      </c>
      <c r="D21" s="3">
        <v>8</v>
      </c>
      <c r="E21" s="46">
        <v>15</v>
      </c>
      <c r="F21" s="3">
        <v>3</v>
      </c>
      <c r="G21" s="3" t="str">
        <f t="shared" si="4"/>
        <v>0x000803C3</v>
      </c>
      <c r="H21" s="3"/>
    </row>
    <row r="22" spans="1:8" x14ac:dyDescent="0.25">
      <c r="A22" s="3" t="s">
        <v>784</v>
      </c>
      <c r="B22" s="3"/>
      <c r="C22" s="3" t="s">
        <v>764</v>
      </c>
      <c r="D22" s="3">
        <v>8</v>
      </c>
      <c r="E22" s="3">
        <v>4</v>
      </c>
      <c r="F22" s="3">
        <v>1</v>
      </c>
      <c r="G22" s="3" t="str">
        <f t="shared" ref="G22" si="5">IF(OR(D22="",E22="",F22=""),"",CONCATENATE("0x",DEC2HEX(MOD(F22,64)+E22*POWER(2,6)+D22*POWER(2,16),8)))</f>
        <v>0x00080101</v>
      </c>
      <c r="H22" s="3"/>
    </row>
    <row r="23" spans="1:8" x14ac:dyDescent="0.25">
      <c r="A23" s="3" t="s">
        <v>843</v>
      </c>
      <c r="B23" s="3"/>
      <c r="C23" s="3" t="s">
        <v>731</v>
      </c>
      <c r="D23" s="3">
        <v>9</v>
      </c>
      <c r="E23" s="46">
        <v>16</v>
      </c>
      <c r="F23" s="3">
        <v>1</v>
      </c>
      <c r="G23" s="3" t="str">
        <f t="shared" si="0"/>
        <v>0x00090401</v>
      </c>
      <c r="H23" s="3"/>
    </row>
    <row r="24" spans="1:8" x14ac:dyDescent="0.25">
      <c r="A24" s="3" t="s">
        <v>901</v>
      </c>
      <c r="B24" s="3"/>
      <c r="C24" s="3" t="s">
        <v>302</v>
      </c>
      <c r="D24" s="3">
        <v>10</v>
      </c>
      <c r="E24" s="3">
        <v>17</v>
      </c>
      <c r="F24" s="3">
        <v>1</v>
      </c>
      <c r="G24" s="3" t="str">
        <f t="shared" si="0"/>
        <v>0x000A0441</v>
      </c>
      <c r="H24" s="3"/>
    </row>
    <row r="25" spans="1:8" x14ac:dyDescent="0.25">
      <c r="A25" s="3" t="s">
        <v>901</v>
      </c>
      <c r="B25" s="3"/>
      <c r="C25" s="3" t="s">
        <v>761</v>
      </c>
      <c r="D25" s="3">
        <v>10</v>
      </c>
      <c r="E25" s="3">
        <v>18</v>
      </c>
      <c r="F25" s="3">
        <v>1</v>
      </c>
      <c r="G25" s="3" t="str">
        <f t="shared" si="0"/>
        <v>0x000A0481</v>
      </c>
      <c r="H25" s="3"/>
    </row>
    <row r="26" spans="1:8" x14ac:dyDescent="0.25">
      <c r="A26" s="3" t="s">
        <v>901</v>
      </c>
      <c r="B26" s="3"/>
      <c r="C26" s="3" t="s">
        <v>762</v>
      </c>
      <c r="D26" s="3">
        <v>10</v>
      </c>
      <c r="E26" s="3">
        <v>18</v>
      </c>
      <c r="F26" s="3">
        <v>2</v>
      </c>
      <c r="G26" s="3" t="str">
        <f t="shared" si="0"/>
        <v>0x000A0482</v>
      </c>
      <c r="H26" s="3"/>
    </row>
    <row r="27" spans="1:8" x14ac:dyDescent="0.25">
      <c r="A27" s="3" t="s">
        <v>901</v>
      </c>
      <c r="B27" s="3"/>
      <c r="C27" s="3" t="s">
        <v>763</v>
      </c>
      <c r="D27" s="3">
        <v>10</v>
      </c>
      <c r="E27" s="3">
        <v>18</v>
      </c>
      <c r="F27" s="3">
        <v>3</v>
      </c>
      <c r="G27" s="3" t="str">
        <f t="shared" si="0"/>
        <v>0x000A0483</v>
      </c>
      <c r="H27" s="3"/>
    </row>
    <row r="28" spans="1:8" x14ac:dyDescent="0.25">
      <c r="G28" s="3" t="str">
        <f t="shared" si="0"/>
        <v/>
      </c>
    </row>
    <row r="29" spans="1:8" x14ac:dyDescent="0.25">
      <c r="G29" s="3" t="str">
        <f t="shared" si="0"/>
        <v/>
      </c>
    </row>
    <row r="30" spans="1:8" x14ac:dyDescent="0.25">
      <c r="G30" s="3" t="str">
        <f t="shared" si="0"/>
        <v/>
      </c>
    </row>
    <row r="31" spans="1:8" x14ac:dyDescent="0.25">
      <c r="G31" s="3" t="str">
        <f t="shared" si="0"/>
        <v/>
      </c>
    </row>
    <row r="32" spans="1:8" x14ac:dyDescent="0.25">
      <c r="G32" s="3" t="str">
        <f t="shared" si="0"/>
        <v/>
      </c>
    </row>
    <row r="33" spans="7:7" x14ac:dyDescent="0.25">
      <c r="G33" s="3" t="str">
        <f t="shared" si="0"/>
        <v/>
      </c>
    </row>
    <row r="34" spans="7:7" x14ac:dyDescent="0.25">
      <c r="G34" s="3" t="str">
        <f t="shared" si="0"/>
        <v/>
      </c>
    </row>
    <row r="35" spans="7:7" x14ac:dyDescent="0.25">
      <c r="G35" s="3" t="str">
        <f t="shared" si="0"/>
        <v/>
      </c>
    </row>
    <row r="36" spans="7:7" x14ac:dyDescent="0.25">
      <c r="G36" s="3" t="str">
        <f t="shared" si="0"/>
        <v/>
      </c>
    </row>
    <row r="37" spans="7:7" x14ac:dyDescent="0.25">
      <c r="G37" s="3" t="str">
        <f t="shared" si="0"/>
        <v/>
      </c>
    </row>
    <row r="38" spans="7:7" x14ac:dyDescent="0.25">
      <c r="G38" s="3" t="str">
        <f t="shared" si="0"/>
        <v/>
      </c>
    </row>
    <row r="39" spans="7:7" x14ac:dyDescent="0.25">
      <c r="G39" s="3" t="str">
        <f t="shared" si="0"/>
        <v/>
      </c>
    </row>
    <row r="40" spans="7:7" x14ac:dyDescent="0.25">
      <c r="G40" s="3" t="str">
        <f t="shared" si="0"/>
        <v/>
      </c>
    </row>
    <row r="41" spans="7:7" x14ac:dyDescent="0.25">
      <c r="G41" s="3" t="str">
        <f t="shared" si="0"/>
        <v/>
      </c>
    </row>
    <row r="42" spans="7:7" x14ac:dyDescent="0.25">
      <c r="G42" s="3" t="str">
        <f t="shared" si="0"/>
        <v/>
      </c>
    </row>
    <row r="43" spans="7:7" x14ac:dyDescent="0.25">
      <c r="G43" s="3" t="str">
        <f t="shared" si="0"/>
        <v/>
      </c>
    </row>
    <row r="44" spans="7:7" x14ac:dyDescent="0.25">
      <c r="G44" s="3" t="str">
        <f t="shared" si="0"/>
        <v/>
      </c>
    </row>
    <row r="45" spans="7:7" x14ac:dyDescent="0.25">
      <c r="G45" s="3" t="str">
        <f t="shared" si="0"/>
        <v/>
      </c>
    </row>
    <row r="46" spans="7:7" x14ac:dyDescent="0.25">
      <c r="G46" s="3" t="str">
        <f t="shared" si="0"/>
        <v/>
      </c>
    </row>
    <row r="47" spans="7:7" x14ac:dyDescent="0.25">
      <c r="G47" s="3" t="str">
        <f t="shared" si="0"/>
        <v/>
      </c>
    </row>
    <row r="48" spans="7:7" x14ac:dyDescent="0.25">
      <c r="G48" s="3" t="str">
        <f t="shared" si="0"/>
        <v/>
      </c>
    </row>
    <row r="49" spans="7:7" x14ac:dyDescent="0.25">
      <c r="G49" s="3" t="str">
        <f t="shared" si="0"/>
        <v/>
      </c>
    </row>
    <row r="50" spans="7:7" x14ac:dyDescent="0.25">
      <c r="G50" s="3" t="str">
        <f t="shared" si="0"/>
        <v/>
      </c>
    </row>
    <row r="51" spans="7:7" x14ac:dyDescent="0.25">
      <c r="G51" s="3" t="str">
        <f t="shared" si="0"/>
        <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Fogli di lavoro</vt:lpstr>
      </vt:variant>
      <vt:variant>
        <vt:i4>18</vt:i4>
      </vt:variant>
      <vt:variant>
        <vt:lpstr>Intervalli denominati</vt:lpstr>
      </vt:variant>
      <vt:variant>
        <vt:i4>1</vt:i4>
      </vt:variant>
    </vt:vector>
  </HeadingPairs>
  <TitlesOfParts>
    <vt:vector size="19" baseType="lpstr">
      <vt:lpstr>COMANDI</vt:lpstr>
      <vt:lpstr>ESEMPI MESSAGGI COMANDI BLE</vt:lpstr>
      <vt:lpstr>DATI LOGICI</vt:lpstr>
      <vt:lpstr>DATI LOGICI SHERPA SLIM</vt:lpstr>
      <vt:lpstr>DATI LOGICI EDEN</vt:lpstr>
      <vt:lpstr>DATI LOGICI TASTIERA PAC</vt:lpstr>
      <vt:lpstr>DATI LOGICI HMI SPYKE</vt:lpstr>
      <vt:lpstr>DATI LOGICI GATEWAY SPYKE</vt:lpstr>
      <vt:lpstr>DATI LOGICI GRADINO</vt:lpstr>
      <vt:lpstr>DATI LOGICI OPTIMUS</vt:lpstr>
      <vt:lpstr>DATI LOGICI TOP-LIFT M</vt:lpstr>
      <vt:lpstr>DATI LOGICI VECCHIO EDEN</vt:lpstr>
      <vt:lpstr>DATI LOGICI TOP-LIFT A2</vt:lpstr>
      <vt:lpstr>DATI LOGICI O3ZTECH</vt:lpstr>
      <vt:lpstr>DATI LOGICI HMI SPARK</vt:lpstr>
      <vt:lpstr>DATI LOGICI OPTIMUS XP</vt:lpstr>
      <vt:lpstr>Tipi FW</vt:lpstr>
      <vt:lpstr>Indirizzo protocollo stem</vt:lpstr>
      <vt:lpstr>'DATI LOGICI'!Area_stampa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Michele</dc:creator>
  <dc:description/>
  <cp:lastModifiedBy>Michele Pignedoli</cp:lastModifiedBy>
  <cp:revision>18</cp:revision>
  <cp:lastPrinted>2023-04-03T13:10:29Z</cp:lastPrinted>
  <dcterms:created xsi:type="dcterms:W3CDTF">2022-07-05T11:58:56Z</dcterms:created>
  <dcterms:modified xsi:type="dcterms:W3CDTF">2025-05-26T13:26:15Z</dcterms:modified>
  <dc:language>it-IT</dc:language>
</cp:coreProperties>
</file>